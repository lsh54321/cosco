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管理" sheetId="2" r:id="rId5"/>
    <sheet name="项目甘特图" sheetId="3" r:id="rId6"/>
    <sheet name="项目进展分析" sheetId="4" r:id="rId7"/>
    <sheet name="💡 【必读】使用指南" sheetId="5" r:id="rId10"/>
    <sheet name="节假日一览表" sheetId="6" r:id="rId11"/>
  </sheets>
  <calcPr calcMode="auto"/>
  <pivotCaches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<sst xmlns="http://schemas.openxmlformats.org/spreadsheetml/2006/main" count="9" uniqueCount="9">
  <si>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</si>
  <si>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9"/>
        <color theme="10"/>
        <rFont val="Calibri"/>
        <family val="2"/>
      </rPr>
      <t>@王小铭</t>
    </r>
    <r>
      <t xml:space="preserve"> </t>
    </r>
  </si>
  <si>
    <t/>
    <r>
      <rPr>
        <sz val="9"/>
        <color theme="10"/>
        <rFont val="Calibri"/>
        <family val="2"/>
      </rPr>
      <t>@周北北</t>
    </r>
    <r>
      <t xml:space="preserve"> </t>
    </r>
  </si>
  <si>
    <t/>
    <r>
      <rPr>
        <sz val="9.75"/>
        <color theme="10"/>
        <rFont val="Calibri"/>
        <family val="2"/>
      </rPr>
      <t>@黄泡泡</t>
    </r>
    <r>
      <t xml:space="preserve"> </t>
    </r>
  </si>
  <si>
    <t/>
    <r>
      <t>借助数据透视表，可以快速对项目数据进行分类汇总，交叉分析，实时掌控项目进度，效率，成员工作分布等信息，方便了解项目进展。通过简单拖拽字段，用户可轻松改变分析维度，提炼有价值内容，操作介绍请参考</t>
    </r>
    <r>
      <rPr>
        <u/>
        <sz val="9.75"/>
        <color theme="10"/>
        <rFont val="Calibri"/>
        <family val="2"/>
      </rPr>
      <t>创建及使用数据透视表</t>
    </r>
  </si>
  <si>
    <t/>
    <r>
      <rPr>
        <u/>
        <sz val="9.75"/>
        <color theme="10"/>
        <rFont val="Calibri"/>
        <family val="2"/>
      </rPr>
      <t>点击可跳转设置并查看效果</t>
    </r>
  </si>
  <si>
    <t/>
    <r>
      <rPr>
        <u/>
        <sz val="9.75"/>
        <color theme="10"/>
        <rFont val="Calibri"/>
        <family val="2"/>
      </rPr>
      <t>点击修改项目启动日期</t>
    </r>
  </si>
  <si>
    <t/>
    <r>
      <rPr>
        <sz val="10.5"/>
        <color rgb="FF000000"/>
        <rFont val="Calibri"/>
        <family val="2"/>
      </rPr>
      <t xml:space="preserve">• 创建模版后，可以手动修改项目启动日期（</t>
    </r>
    <r>
      <rPr>
        <i/>
        <sz val="9"/>
        <color rgb="FF000000"/>
        <rFont val="Calibri"/>
        <family val="2"/>
      </rPr>
      <t>默认基于打开表格时间自动生成项目启动日期</t>
    </r>
    <r>
      <rPr>
        <sz val="9"/>
        <color rgb="FF000000"/>
        <rFont val="Calibri"/>
        <family val="2"/>
      </rPr>
      <t>）</t>
    </r>
    <r>
      <rPr>
        <sz val="10.5"/>
        <color rgb="FF000000"/>
        <rFont val="Calibri"/>
        <family val="2"/>
      </rPr>
      <t>，右侧时间表会自动生成</t>
    </r>
  </si>
  <si>
    <t/>
    <r>
      <rPr>
        <sz val="10.5"/>
        <color rgb="FF000000"/>
        <rFont val="Calibri"/>
        <family val="2"/>
      </rPr>
      <t xml:space="preserve">• </t>
    </r>
    <r>
      <rPr>
        <sz val="10.5"/>
        <color rgb="FFF54A45"/>
        <rFont val="Calibri"/>
        <family val="2"/>
      </rPr>
      <t>仅需要更新有绿色背景色的区域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</si>
</sst>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m/d/yyyy\ \(dddd\)"/>
    <numFmt numFmtId="165" formatCode="yyyy/MM/dd"/>
    <numFmt numFmtId="166" formatCode="yyyy/m/d dddd"/>
    <numFmt numFmtId="167" formatCode="0"/>
    <numFmt numFmtId="168" formatCode="yyyy/m/d dddd"/>
    <numFmt numFmtId="169" formatCode="0"/>
    <numFmt numFmtId="170" formatCode="0%"/>
    <numFmt numFmtId="171" formatCode="0"/>
    <numFmt numFmtId="172" formatCode="0"/>
    <numFmt numFmtId="173" formatCode="0%"/>
    <numFmt numFmtId="174" formatCode="yyyy/m/d dddd"/>
    <numFmt numFmtId="175" formatCode="0"/>
    <numFmt numFmtId="176" formatCode="0"/>
    <numFmt numFmtId="177" formatCode="0"/>
    <numFmt numFmtId="178" formatCode="0%"/>
    <numFmt numFmtId="179" formatCode="0%"/>
    <numFmt numFmtId="180" formatCode="m/d/yyyy\ \(dddd\)"/>
    <numFmt numFmtId="181" formatCode="yyyy/m/d dddd"/>
    <numFmt numFmtId="182" formatCode="0"/>
    <numFmt numFmtId="183" formatCode="yyyy/m/d dddd"/>
    <numFmt numFmtId="184" formatCode="0%"/>
    <numFmt numFmtId="185" formatCode="0"/>
    <numFmt numFmtId="186" formatCode="d"/>
    <numFmt numFmtId="187" formatCode="d"/>
    <numFmt numFmtId="188" formatCode="yyyy&quot;年&quot;m&quot;月&quot;"/>
    <numFmt numFmtId="189" formatCode="0"/>
    <numFmt numFmtId="190" formatCode="yyyy/MM/dd"/>
    <numFmt numFmtId="191" formatCode="#,##0"/>
    <numFmt numFmtId="192" formatCode="yyyy/m/d"/>
    <numFmt numFmtId="193" formatCode="yyyy/m/d"/>
    <numFmt numFmtId="194" formatCode="yyyy/m/d"/>
  </numFmts>
  <fonts count="28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i val="true"/>
      <sz val="9"/>
      <color rgb="FF000000"/>
      <name val="Calibri"/>
      <family val="2"/>
      <scheme val="minor"/>
    </font>
    <font>
      <sz val="16"/>
      <color rgb="FF3B608D"/>
      <name val="Calibri"/>
      <family val="2"/>
      <scheme val="minor"/>
    </font>
    <font>
      <sz val="9"/>
      <color rgb="FF8F959E"/>
      <name val="Calibri"/>
      <family val="2"/>
      <scheme val="minor"/>
    </font>
    <font>
      <b val="true"/>
      <sz val="11"/>
      <color rgb="FF373C43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 val="true"/>
      <sz val="24"/>
      <color rgb="FF186010"/>
      <name val="Calibri"/>
      <family val="2"/>
      <scheme val="minor"/>
    </font>
    <font>
      <b val="true"/>
      <sz val="24"/>
      <color rgb="FF245BDB"/>
      <name val="Calibri"/>
      <family val="2"/>
      <scheme val="minor"/>
    </font>
    <font>
      <sz val="10"/>
      <color rgb="FF124B0C"/>
      <name val="Calibri"/>
      <family val="2"/>
      <scheme val="minor"/>
    </font>
    <font>
      <b val="true"/>
      <sz val="14"/>
      <color rgb="FF124B0C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14"/>
      <color rgb="FF3B608D"/>
      <name val="Calibri"/>
      <family val="2"/>
      <scheme val="minor"/>
    </font>
    <font>
      <b val="true"/>
      <sz val="12"/>
      <color rgb="FF3B608D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3B8741"/>
      <name val="Calibri"/>
      <family val="2"/>
      <scheme val="minor"/>
    </font>
    <font>
      <sz val="18"/>
      <color rgb="FF3B608D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</fonts>
  <fills count="3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7E6D8"/>
        <bgColor/>
      </patternFill>
    </fill>
    <fill>
      <patternFill patternType="solid">
        <fgColor rgb="FFD7E6D8"/>
        <bgColor/>
      </patternFill>
    </fill>
    <fill>
      <patternFill patternType="solid">
        <fgColor rgb="FFD7E6D8"/>
        <bgColor/>
      </patternFill>
    </fill>
    <fill>
      <patternFill patternType="solid">
        <fgColor rgb="FF8F959E"/>
        <bgColor/>
      </patternFill>
    </fill>
    <fill>
      <patternFill patternType="solid">
        <fgColor rgb="FF245BDB"/>
        <bgColor/>
      </patternFill>
    </fill>
    <fill>
      <patternFill patternType="solid">
        <fgColor rgb="FFD9D9D9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245BDB"/>
        <bgColor/>
      </patternFill>
    </fill>
    <fill>
      <patternFill patternType="solid">
        <fgColor rgb="FF8F959E"/>
        <bgColor/>
      </patternFill>
    </fill>
    <fill>
      <patternFill patternType="solid">
        <fgColor rgb="FF245BDB"/>
        <bgColor/>
      </patternFill>
    </fill>
    <fill>
      <patternFill patternType="solid">
        <fgColor rgb="FFD8D8D8"/>
        <bgColor/>
      </patternFill>
    </fill>
    <fill>
      <patternFill patternType="solid">
        <fgColor rgb="FF8F959E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D8D8D8"/>
        <bgColor/>
      </patternFill>
    </fill>
    <fill>
      <patternFill patternType="solid">
        <fgColor rgb="FFFAF1D1"/>
        <bgColor/>
      </patternFill>
    </fill>
    <fill>
      <patternFill patternType="solid">
        <fgColor rgb="FFC0504D"/>
        <bgColor/>
      </patternFill>
    </fill>
    <fill>
      <patternFill patternType="solid">
        <fgColor rgb="FF8F959E"/>
        <bgColor/>
      </patternFill>
    </fill>
    <fill>
      <patternFill patternType="solid">
        <fgColor rgb="FF245BDB"/>
        <bgColor/>
      </patternFill>
    </fill>
    <fill>
      <patternFill patternType="solid">
        <fgColor rgb="FFD9F5D6"/>
        <bgColor/>
      </patternFill>
    </fill>
    <fill>
      <patternFill patternType="solid">
        <fgColor rgb="FF8EE085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D7E6D8"/>
        <bgColor/>
      </patternFill>
    </fill>
    <fill>
      <patternFill patternType="solid">
        <fgColor rgb="FFE1EAFF"/>
        <bgColor/>
      </patternFill>
    </fill>
  </fills>
  <borders count="95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rgb="FFBEBFBF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thin">
        <color rgb="FFBEBFB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AEAEA"/>
      </top>
      <bottom style="thin">
        <color rgb="FFEAEAEA"/>
      </bottom>
      <diagonal/>
    </border>
    <border>
      <left/>
      <right/>
      <top/>
      <bottom style="thin">
        <color rgb="FFBEBFBF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 style="thin">
        <color rgb="FFEAEAEA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A5A5A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/>
      <diagonal/>
    </border>
    <border>
      <left/>
      <right style="thin">
        <color rgb="FFBE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BE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F5D6"/>
      </left>
      <right style="thin">
        <color rgb="FFD9F5D6"/>
      </right>
      <top style="thin">
        <color rgb="FFD9F5D6"/>
      </top>
      <bottom style="thin">
        <color rgb="FFD9F5D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right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true" applyProtection="false" borderId="6" fillId="0" fontId="2" numFmtId="165" xfId="0">
      <alignment horizontal="center" vertical="center"/>
    </xf>
    <xf applyAlignment="true" applyBorder="false" applyFill="true" applyFont="true" applyNumberFormat="true" applyProtection="false" borderId="7" fillId="2" fontId="3" numFmtId="166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left"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true" applyFont="true" applyNumberFormat="true" applyProtection="false" borderId="10" fillId="3" fontId="3" numFmtId="167" xfId="0">
      <alignment horizontal="center" vertical="center"/>
    </xf>
    <xf applyAlignment="true" applyBorder="false" applyFill="false" applyFont="true" applyNumberFormat="true" applyProtection="false" borderId="11" fillId="0" fontId="3" numFmtId="168" xfId="0">
      <alignment horizontal="center" vertical="center"/>
    </xf>
    <xf applyAlignment="true" applyBorder="false" applyFill="false" applyFont="true" applyNumberFormat="true" applyProtection="false" borderId="12" fillId="0" fontId="3" numFmtId="169" xfId="0">
      <alignment horizontal="center" vertical="center"/>
    </xf>
    <xf applyAlignment="true" applyBorder="false" applyFill="true" applyFont="true" applyNumberFormat="true" applyProtection="false" borderId="13" fillId="4" fontId="3" numFmtId="170" xfId="0">
      <alignment horizontal="center" vertical="center"/>
    </xf>
    <xf applyAlignment="true" applyBorder="false" applyFill="false" applyFont="true" applyNumberFormat="true" applyProtection="false" borderId="14" fillId="0" fontId="4" numFmtId="171" xfId="0">
      <alignment horizontal="center" vertical="center"/>
    </xf>
    <xf applyAlignment="true" applyBorder="false" applyFill="true" applyFont="true" applyNumberFormat="false" applyProtection="false" borderId="15" fillId="5" fontId="3" numFmtId="0" xfId="0">
      <alignment horizontal="left" vertical="center"/>
    </xf>
    <xf applyAlignment="true" applyBorder="false" applyFill="false" applyFont="true" applyNumberFormat="false" applyProtection="false" borderId="16" fillId="0" fontId="3" numFmtId="0" xfId="0">
      <alignment vertical="center" wrapText="true"/>
    </xf>
    <xf applyAlignment="true" applyBorder="false" applyFill="true" applyFont="true" applyNumberFormat="false" applyProtection="false" borderId="17" fillId="6" fontId="3" numFmtId="0" xfId="0">
      <alignment horizontal="left" vertical="center"/>
    </xf>
    <xf applyAlignment="true" applyBorder="false" applyFill="false" applyFont="true" applyNumberFormat="false" applyProtection="false" borderId="18" fillId="0" fontId="3" numFmtId="0" xfId="0">
      <alignment horizontal="left" vertical="center"/>
    </xf>
    <xf applyAlignment="true" applyBorder="false" applyFill="true" applyFont="true" applyNumberFormat="false" applyProtection="false" borderId="19" fillId="7" fontId="5" numFmtId="0" xfId="0">
      <alignment horizontal="left" vertical="center"/>
    </xf>
    <xf applyAlignment="true" applyBorder="false" applyFill="true" applyFont="true" applyNumberFormat="false" applyProtection="false" borderId="20" fillId="8" fontId="3" numFmtId="0" xfId="0">
      <alignment horizontal="left" vertical="center"/>
    </xf>
    <xf applyAlignment="true" applyBorder="false" applyFill="true" applyFont="true" applyNumberFormat="true" applyProtection="false" borderId="21" fillId="9" fontId="3" numFmtId="172" xfId="0">
      <alignment horizontal="center" vertical="center"/>
    </xf>
    <xf applyAlignment="true" applyBorder="false" applyFill="true" applyFont="true" applyNumberFormat="true" applyProtection="false" borderId="22" fillId="10" fontId="3" numFmtId="173" xfId="0">
      <alignment horizontal="center" vertical="center"/>
    </xf>
    <xf applyAlignment="true" applyBorder="false" applyFill="true" applyFont="true" applyNumberFormat="true" applyProtection="false" borderId="23" fillId="11" fontId="3" numFmtId="174" xfId="0">
      <alignment horizontal="center" vertical="center"/>
    </xf>
    <xf applyAlignment="true" applyBorder="false" applyFill="true" applyFont="true" applyNumberFormat="true" applyProtection="false" borderId="24" fillId="12" fontId="4" numFmtId="175" xfId="0">
      <alignment horizontal="center" vertical="center"/>
    </xf>
    <xf applyAlignment="true" applyBorder="false" applyFill="true" applyFont="true" applyNumberFormat="false" applyProtection="false" borderId="25" fillId="13" fontId="3" numFmtId="0" xfId="0">
      <alignment vertical="center"/>
    </xf>
    <xf applyAlignment="true" applyBorder="false" applyFill="true" applyFont="true" applyNumberFormat="false" applyProtection="false" borderId="26" fillId="14" fontId="5" numFmtId="0" xfId="0">
      <alignment vertical="center"/>
    </xf>
    <xf applyAlignment="true" applyBorder="false" applyFill="false" applyFont="true" applyNumberFormat="true" applyProtection="false" borderId="27" fillId="0" fontId="4" numFmtId="176" xfId="0">
      <alignment horizontal="center" vertical="center"/>
    </xf>
    <xf applyAlignment="true" applyBorder="false" applyFill="false" applyFont="true" applyNumberFormat="true" applyProtection="false" borderId="28" fillId="0" fontId="3" numFmtId="177" xfId="0">
      <alignment horizontal="center" vertical="center"/>
    </xf>
    <xf applyAlignment="true" applyBorder="false" applyFill="false" applyFont="true" applyNumberFormat="false" applyProtection="false" borderId="29" fillId="0" fontId="6" numFmtId="0" xfId="0">
      <alignment horizontal="center" vertical="center"/>
    </xf>
    <xf applyAlignment="true" applyBorder="false" applyFill="false" applyFont="true" applyNumberFormat="true" applyProtection="false" borderId="30" fillId="0" fontId="3" numFmtId="178" xfId="0">
      <alignment horizontal="center" vertical="center"/>
    </xf>
    <xf applyAlignment="true" applyBorder="false" applyFill="false" applyFont="true" applyNumberFormat="false" applyProtection="false" borderId="31" fillId="0" fontId="6" numFmtId="0" xfId="0">
      <alignment vertical="center"/>
    </xf>
    <xf applyAlignment="true" applyBorder="false" applyFill="false" applyFont="true" applyNumberFormat="false" applyProtection="false" borderId="32" fillId="0" fontId="7" numFmtId="0" xfId="0">
      <alignment horizontal="left" vertical="center"/>
    </xf>
    <xf applyAlignment="true" applyBorder="false" applyFill="false" applyFont="true" applyNumberFormat="false" applyProtection="false" borderId="33" fillId="0" fontId="8" numFmtId="0" xfId="0">
      <alignment horizontal="left" vertical="bottom"/>
    </xf>
    <xf applyAlignment="true" applyBorder="false" applyFill="false" applyFont="true" applyNumberFormat="false" applyProtection="false" borderId="34" fillId="0" fontId="9" numFmtId="0" xfId="0">
      <alignment horizontal="left" vertical="center"/>
    </xf>
    <xf applyAlignment="true" applyBorder="false" applyFill="true" applyFont="true" applyNumberFormat="false" applyProtection="false" borderId="35" fillId="15" fontId="7" numFmtId="0" xfId="0">
      <alignment horizontal="left" vertical="center"/>
    </xf>
    <xf applyAlignment="true" applyBorder="false" applyFill="true" applyFont="true" applyNumberFormat="false" applyProtection="false" borderId="36" fillId="16" fontId="7" numFmtId="0" xfId="0">
      <alignment horizontal="left" vertical="center"/>
    </xf>
    <xf applyAlignment="true" applyBorder="false" applyFill="false" applyFont="true" applyNumberFormat="true" applyProtection="false" borderId="37" fillId="0" fontId="3" numFmtId="179" xfId="0">
      <alignment horizontal="left" vertical="center"/>
    </xf>
    <xf applyAlignment="true" applyBorder="false" applyFill="false" applyFont="true" applyNumberFormat="true" applyProtection="false" borderId="38" fillId="0" fontId="2" numFmtId="180" xfId="0">
      <alignment horizontal="left" vertical="center"/>
    </xf>
    <xf applyAlignment="true" applyBorder="false" applyFill="true" applyFont="true" applyNumberFormat="false" applyProtection="false" borderId="39" fillId="17" fontId="3" numFmtId="0" xfId="0">
      <alignment horizontal="left" vertical="center"/>
    </xf>
    <xf applyAlignment="true" applyBorder="false" applyFill="true" applyFont="true" applyNumberFormat="false" applyProtection="false" borderId="40" fillId="18" fontId="3" numFmtId="0" xfId="0">
      <alignment horizontal="left" vertical="center"/>
    </xf>
    <xf applyAlignment="true" applyBorder="false" applyFill="true" applyFont="true" applyNumberFormat="false" applyProtection="false" borderId="41" fillId="19" fontId="3" numFmtId="0" xfId="0">
      <alignment horizontal="left" vertical="center"/>
    </xf>
    <xf applyAlignment="true" applyBorder="false" applyFill="true" applyFont="true" applyNumberFormat="false" applyProtection="false" borderId="42" fillId="20" fontId="5" numFmtId="0" xfId="0">
      <alignment vertical="center"/>
    </xf>
    <xf applyAlignment="true" applyBorder="false" applyFill="true" applyFont="true" applyNumberFormat="true" applyProtection="false" borderId="43" fillId="21" fontId="3" numFmtId="181" xfId="0">
      <alignment horizontal="right" vertical="center"/>
    </xf>
    <xf applyAlignment="true" applyBorder="false" applyFill="true" applyFont="true" applyNumberFormat="false" applyProtection="false" borderId="44" fillId="22" fontId="3" numFmtId="0" xfId="0">
      <alignment vertical="center"/>
    </xf>
    <xf applyAlignment="true" applyBorder="false" applyFill="true" applyFont="true" applyNumberFormat="true" applyProtection="false" borderId="45" fillId="23" fontId="3" numFmtId="182" xfId="0">
      <alignment horizontal="center" vertical="center"/>
    </xf>
    <xf applyAlignment="true" applyBorder="false" applyFill="true" applyFont="true" applyNumberFormat="true" applyProtection="false" borderId="46" fillId="24" fontId="3" numFmtId="183" xfId="0">
      <alignment horizontal="center" vertical="center"/>
    </xf>
    <xf applyAlignment="true" applyBorder="false" applyFill="true" applyFont="true" applyNumberFormat="true" applyProtection="false" borderId="47" fillId="25" fontId="3" numFmtId="184" xfId="0">
      <alignment horizontal="center" vertical="center"/>
    </xf>
    <xf applyAlignment="true" applyBorder="false" applyFill="true" applyFont="true" applyNumberFormat="true" applyProtection="false" borderId="48" fillId="26" fontId="4" numFmtId="185" xfId="0">
      <alignment horizontal="center" vertical="center"/>
    </xf>
    <xf applyAlignment="true" applyBorder="false" applyFill="false" applyFont="true" applyNumberFormat="false" applyProtection="false" borderId="49" fillId="0" fontId="8" numFmtId="0" xfId="0">
      <alignment vertical="center"/>
    </xf>
    <xf applyAlignment="true" applyBorder="false" applyFill="false" applyFont="true" applyNumberFormat="false" applyProtection="false" borderId="50" fillId="0" fontId="3" numFmtId="0" xfId="0">
      <alignment horizontal="center" vertical="center"/>
    </xf>
    <xf applyAlignment="true" applyBorder="false" applyFill="false" applyFont="true" applyNumberFormat="false" applyProtection="false" borderId="51" fillId="0" fontId="8" numFmtId="0" xfId="0">
      <alignment horizontal="left" vertical="center"/>
    </xf>
    <xf applyAlignment="true" applyBorder="false" applyFill="false" applyFont="true" applyNumberFormat="false" applyProtection="false" borderId="52" fillId="0" fontId="10" numFmtId="0" xfId="0">
      <alignment horizontal="center" vertical="center" wrapText="true"/>
    </xf>
    <xf applyAlignment="true" applyBorder="false" applyFill="false" applyFont="true" applyNumberFormat="true" applyProtection="false" borderId="53" fillId="0" fontId="11" numFmtId="186" xfId="0">
      <alignment horizontal="center" vertical="center"/>
    </xf>
    <xf applyAlignment="true" applyBorder="false" applyFill="false" applyFont="true" applyNumberFormat="false" applyProtection="false" borderId="54" fillId="0" fontId="10" numFmtId="0" xfId="0">
      <alignment horizontal="left" vertical="center" wrapText="true"/>
    </xf>
    <xf applyAlignment="true" applyBorder="false" applyFill="false" applyFont="true" applyNumberFormat="false" applyProtection="false" borderId="55" fillId="0" fontId="2" numFmtId="0" xfId="0">
      <alignment vertical="center"/>
    </xf>
    <xf applyAlignment="true" applyBorder="false" applyFill="false" applyFont="true" applyNumberFormat="true" applyProtection="false" borderId="56" fillId="0" fontId="11" numFmtId="187" xfId="0">
      <alignment horizontal="center" vertical="center"/>
    </xf>
    <xf applyAlignment="true" applyBorder="false" applyFill="false" applyFont="true" applyNumberFormat="true" applyProtection="false" borderId="57" fillId="0" fontId="2" numFmtId="188" xfId="0">
      <alignment horizontal="center" vertical="center"/>
    </xf>
    <xf applyAlignment="true" applyBorder="false" applyFill="false" applyFont="true" applyNumberFormat="false" applyProtection="false" borderId="58" fillId="0" fontId="8" numFmtId="0" xfId="0">
      <alignment horizontal="center" vertical="center"/>
    </xf>
    <xf applyAlignment="true" applyBorder="false" applyFill="false" applyFont="true" applyNumberFormat="true" applyProtection="false" borderId="59" fillId="0" fontId="2" numFmtId="189" xfId="0">
      <alignment horizontal="center" vertical="center"/>
    </xf>
    <xf applyAlignment="false" applyBorder="false" applyFill="true" applyFont="false" applyNumberFormat="false" applyProtection="false" borderId="60" fillId="27" fontId="0" numFmtId="0" xfId="0">
      <alignment/>
    </xf>
    <xf applyAlignment="false" applyBorder="false" applyFill="false" applyFont="false" applyNumberFormat="false" applyProtection="false" borderId="61" fillId="0" fontId="0" numFmtId="0" xfId="0">
      <alignment/>
    </xf>
    <xf applyAlignment="false" applyBorder="false" applyFill="true" applyFont="true" applyNumberFormat="false" applyProtection="false" borderId="62" fillId="28" fontId="12" numFmtId="0" xfId="0">
      <alignment/>
    </xf>
    <xf applyAlignment="false" applyBorder="false" applyFill="true" applyFont="false" applyNumberFormat="false" applyProtection="false" borderId="63" fillId="29" fontId="0" numFmtId="0" xfId="0">
      <alignment/>
    </xf>
    <xf applyAlignment="false" applyBorder="false" applyFill="true" applyFont="false" applyNumberFormat="false" applyProtection="false" borderId="64" fillId="30" fontId="0" numFmtId="0" xfId="0">
      <alignment/>
    </xf>
    <xf applyAlignment="false" applyBorder="false" applyFill="false" applyFont="false" applyNumberFormat="true" applyProtection="false" borderId="65" fillId="0" fontId="0" numFmtId="190" xfId="0">
      <alignment/>
    </xf>
    <xf applyAlignment="true" applyBorder="false" applyFill="false" applyFont="true" applyNumberFormat="false" applyProtection="false" borderId="66" fillId="0" fontId="13" numFmtId="0" xfId="0">
      <alignment horizontal="center" vertical="center"/>
    </xf>
    <xf applyAlignment="true" applyBorder="false" applyFill="false" applyFont="true" applyNumberFormat="false" applyProtection="false" borderId="67" fillId="0" fontId="14" numFmtId="0" xfId="0">
      <alignment horizontal="left" vertical="center"/>
    </xf>
    <xf applyAlignment="true" applyBorder="false" applyFill="true" applyFont="true" applyNumberFormat="false" applyProtection="false" borderId="68" fillId="31" fontId="15" numFmtId="0" xfId="0">
      <alignment horizontal="center" vertical="center" wrapText="true"/>
    </xf>
    <xf applyAlignment="true" applyBorder="false" applyFill="true" applyFont="true" applyNumberFormat="false" applyProtection="false" borderId="69" fillId="32" fontId="16" numFmtId="0" xfId="0">
      <alignment horizontal="center" vertical="center"/>
    </xf>
    <xf applyAlignment="true" applyBorder="false" applyFill="true" applyFont="true" applyNumberFormat="false" applyProtection="false" borderId="70" fillId="33" fontId="17" numFmtId="0" xfId="0">
      <alignment horizontal="center" vertical="center"/>
    </xf>
    <xf applyAlignment="true" applyBorder="false" applyFill="false" applyFont="true" applyNumberFormat="false" applyProtection="false" borderId="71" fillId="0" fontId="18" numFmtId="0" xfId="0">
      <alignment vertical="center"/>
    </xf>
    <xf applyAlignment="true" applyBorder="false" applyFill="false" applyFont="true" applyNumberFormat="false" applyProtection="false" borderId="72" fillId="0" fontId="19" numFmtId="0" xfId="0">
      <alignment vertical="center"/>
    </xf>
    <xf applyAlignment="true" applyBorder="false" applyFill="false" applyFont="true" applyNumberFormat="false" applyProtection="false" borderId="73" fillId="0" fontId="20" numFmtId="0" xfId="0">
      <alignment vertical="center"/>
    </xf>
    <xf applyAlignment="true" applyBorder="false" applyFill="false" applyFont="true" applyNumberFormat="false" applyProtection="false" borderId="74" fillId="0" fontId="21" numFmtId="0" xfId="0">
      <alignment vertical="center"/>
    </xf>
    <xf applyAlignment="true" applyBorder="false" applyFill="false" applyFont="true" applyNumberFormat="false" applyProtection="false" borderId="75" fillId="0" fontId="22" numFmtId="0" xfId="0">
      <alignment vertical="center"/>
    </xf>
    <xf applyAlignment="true" applyBorder="false" applyFill="false" applyFont="true" applyNumberFormat="false" applyProtection="false" borderId="76" fillId="0" fontId="23" numFmtId="0" xfId="0">
      <alignment vertical="center" wrapText="true"/>
    </xf>
    <xf applyAlignment="true" applyBorder="false" applyFill="false" applyFont="true" applyNumberFormat="false" applyProtection="false" borderId="77" fillId="0" fontId="19" numFmtId="0" xfId="0">
      <alignment horizontal="left" vertical="center"/>
    </xf>
    <xf applyAlignment="true" applyBorder="false" applyFill="false" applyFont="true" applyNumberFormat="false" applyProtection="false" borderId="78" fillId="0" fontId="24" numFmtId="0" xfId="0">
      <alignment horizontal="left" vertical="center"/>
    </xf>
    <xf applyAlignment="true" applyBorder="false" applyFill="false" applyFont="true" applyNumberFormat="true" applyProtection="false" borderId="79" fillId="0" fontId="21" numFmtId="191" xfId="0">
      <alignment vertical="center"/>
    </xf>
    <xf applyAlignment="true" applyBorder="false" applyFill="false" applyFont="true" applyNumberFormat="false" applyProtection="false" borderId="80" fillId="0" fontId="25" numFmtId="0" xfId="0">
      <alignment horizontal="left" vertical="center"/>
    </xf>
    <xf applyAlignment="true" applyBorder="false" applyFill="true" applyFont="true" applyNumberFormat="false" applyProtection="false" borderId="81" fillId="34" fontId="21" numFmtId="0" xfId="0">
      <alignment vertical="center"/>
    </xf>
    <xf applyAlignment="true" applyBorder="false" applyFill="false" applyFont="true" applyNumberFormat="false" applyProtection="false" borderId="82" fillId="0" fontId="26" numFmtId="0" xfId="0">
      <alignment vertical="center"/>
    </xf>
    <xf applyAlignment="true" applyBorder="false" applyFill="false" applyFont="true" applyNumberFormat="false" applyProtection="false" borderId="83" fillId="0" fontId="23" numFmtId="0" xfId="0">
      <alignment horizontal="left" vertical="center" wrapText="true"/>
    </xf>
    <xf applyAlignment="true" applyBorder="false" applyFill="true" applyFont="true" applyNumberFormat="false" applyProtection="false" borderId="84" fillId="35" fontId="21" numFmtId="0" xfId="0">
      <alignment horizontal="center" vertical="center"/>
    </xf>
    <xf applyAlignment="true" applyBorder="false" applyFill="false" applyFont="true" applyNumberFormat="false" applyProtection="false" borderId="85" fillId="0" fontId="23" numFmtId="0" xfId="0">
      <alignment vertical="center"/>
    </xf>
    <xf applyAlignment="true" applyBorder="false" applyFill="false" applyFont="true" applyNumberFormat="false" applyProtection="false" borderId="86" fillId="0" fontId="2" numFmtId="0" xfId="0">
      <alignment horizontal="center" vertical="center"/>
    </xf>
    <xf applyAlignment="true" applyBorder="false" applyFill="false" applyFont="true" applyNumberFormat="true" applyProtection="false" borderId="87" fillId="0" fontId="2" numFmtId="192" xfId="0">
      <alignment horizontal="center" vertical="center"/>
    </xf>
    <xf applyAlignment="true" applyBorder="false" applyFill="false" applyFont="true" applyNumberFormat="false" applyProtection="false" borderId="88" fillId="0" fontId="2" numFmtId="0" xfId="0">
      <alignment horizontal="left" vertical="center" wrapText="true"/>
    </xf>
    <xf applyAlignment="true" applyBorder="false" applyFill="false" applyFont="true" applyNumberFormat="true" applyProtection="false" borderId="89" fillId="0" fontId="2" numFmtId="193" xfId="0">
      <alignment vertical="center"/>
    </xf>
    <xf applyAlignment="true" applyBorder="false" applyFill="false" applyFont="true" applyNumberFormat="true" applyProtection="false" borderId="90" fillId="0" fontId="2" numFmtId="194" xfId="0">
      <alignment horizontal="center" vertical="center"/>
    </xf>
    <xf applyAlignment="true" applyBorder="false" applyFill="false" applyFont="true" applyNumberFormat="false" applyProtection="false" borderId="91" fillId="0" fontId="2" numFmtId="0" xfId="0">
      <alignment horizontal="center" vertical="center"/>
    </xf>
    <xf applyAlignment="true" applyBorder="false" applyFill="false" applyFont="true" applyNumberFormat="false" applyProtection="false" borderId="92" fillId="0" fontId="2" numFmtId="0" xfId="0">
      <alignment horizontal="left" vertical="center"/>
    </xf>
    <xf applyAlignment="true" applyBorder="false" applyFill="true" applyFont="true" applyNumberFormat="false" applyProtection="false" borderId="93" fillId="36" fontId="5" numFmtId="0" xfId="0">
      <alignment horizontal="center" vertical="center"/>
    </xf>
    <xf applyAlignment="true" applyBorder="false" applyFill="false" applyFont="true" applyNumberFormat="false" applyProtection="false" borderId="94" fillId="0" fontId="27" numFmtId="0" xfId="0">
      <alignment horizontal="center" vertical="center"/>
    </xf>
  </cellXfs>
  <cellStyles count="1">
    <cellStyle builtinId="0" name="Normal" xfId="0"/>
  </cellStyles>
  <dxfs count="5">
    <dxf>
      <fill>
        <patternFill patternType="solid">
          <fgColor/>
          <bgColor rgb="FFFAF1D1"/>
        </patternFill>
      </fill>
    </dxf>
    <dxf/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C0504D"/>
        </patternFill>
      </fill>
    </dxf>
    <dxf>
      <fill>
        <patternFill patternType="solid">
          <fgColor/>
          <bgColor rgb="FF8F959E"/>
        </patternFill>
      </fill>
    </dxf>
    <dxf>
      <fill>
        <patternFill patternType="solid">
          <fgColor/>
          <bgColor rgb="FF245BDB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/xl/pivotCache/pivotCacheDefinition1.xml" Type="http://schemas.openxmlformats.org/officeDocument/2006/relationships/pivotCacheDefinition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9525</xdr:colOff>
      <xdr:row>1</xdr:row>
      <xdr:rowOff>0</xdr:rowOff>
    </xdr:from>
    <xdr:to>
      <xdr:col>7</xdr:col>
      <xdr:colOff>171450</xdr:colOff>
      <xdr:row>4</xdr:row>
      <xdr:rowOff>66675</xdr:rowOff>
    </xdr:to>
    <xdr:pic>
      <xdr:nvPicPr>
        <xdr:cNvPr id="2" name="Picture 2" descr="jMaSk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76200</xdr:colOff>
      <xdr:row>0</xdr:row>
      <xdr:rowOff>95250</xdr:rowOff>
    </xdr:from>
    <xdr:to>
      <xdr:col>10</xdr:col>
      <xdr:colOff>733425</xdr:colOff>
      <xdr:row>18</xdr:row>
      <xdr:rowOff>180975</xdr:rowOff>
    </xdr:to>
    <xdr:pic>
      <xdr:nvPicPr>
        <xdr:cNvPr id="2" name="Picture 2" descr="vwxER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76200</xdr:colOff>
      <xdr:row>0</xdr:row>
      <xdr:rowOff>95250</xdr:rowOff>
    </xdr:from>
    <xdr:to>
      <xdr:col>10</xdr:col>
      <xdr:colOff>733425</xdr:colOff>
      <xdr:row>18</xdr:row>
      <xdr:rowOff>180975</xdr:rowOff>
    </xdr:to>
    <xdr:pic>
      <xdr:nvPicPr>
        <xdr:cNvPr id="3" name="Picture 3" descr="pcGvQ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4:$I$34" sheet="项目管理"/>
  </cacheSource>
  <cacheFields count="9">
    <cacheField name="项目" numFmtId="0">
      <sharedItems containsBlank="true" containsMixedTypes="true" containsNumber="true" minValue="1" maxValue="4.5" count="28">
        <s v="灰色底色为任务项，白色底色为子任务项"/>
        <n v="1"/>
        <n v="1.1"/>
        <n v="1.2"/>
        <n v="1.3"/>
        <n v="1.4"/>
        <n v="1.5"/>
        <n v="1.6"/>
        <n v="1.7"/>
        <n v="2"/>
        <n v="2.1"/>
        <n v="2.2"/>
        <n v="2.3"/>
        <n v="2.4"/>
        <n v="2.5"/>
        <n v="3"/>
        <n v="3.1"/>
        <n v="3.2"/>
        <n v="3.3"/>
        <n v="3.4"/>
        <n v="3.5"/>
        <n v="4"/>
        <n v="4.1"/>
        <n v="4.2"/>
        <n v="4.3"/>
        <n v="4.4"/>
        <n v="4.5"/>
        <m/>
      </sharedItems>
    </cacheField>
    <cacheField name="项目描述" numFmtId="0">
      <sharedItems containsBlank="true" count="0"/>
    </cacheField>
    <cacheField name="跟进人" numFmtId="0">
      <sharedItems containsBlank="true" count="4">
        <m/>
        <s v="@黄泡泡 "/>
        <s v="@周北北 "/>
        <s v="@王小铭 "/>
      </sharedItems>
    </cacheField>
    <cacheField name="启动日期" numFmtId="0">
      <sharedItems containsDate="true" containsBlank="true" containsMixedTypes="true" minDate="2026-04-14T00:00:00.000Z" maxDate="2026-05-10T00:00:00.000Z" count="0"/>
    </cacheField>
    <cacheField name="完成日期" numFmtId="0">
      <sharedItems containsNonDate="false" containsDate="true" containsString="false" containsBlank="true" minDate="2026-04-15T00:00:00.000Z" maxDate="2026-05-18T00:00:00.000Z" count="0"/>
    </cacheField>
    <cacheField name="工时&#10;自然日" numFmtId="0">
      <sharedItems containsString="false" containsBlank="true" containsNumber="true" containsInteger="true" minValue="1" maxValue="35" count="11">
        <m/>
        <n v="35"/>
        <n v="2"/>
        <n v="4"/>
        <n v="5"/>
        <n v="8"/>
        <n v="7"/>
        <n v="19"/>
        <n v="3"/>
        <n v="6"/>
        <n v="1"/>
      </sharedItems>
    </cacheField>
    <cacheField name="完成度 %" numFmtId="0">
      <sharedItems containsString="false" containsBlank="true" containsNumber="true" minValue="0" maxValue="1" count="0"/>
    </cacheField>
    <cacheField name="工时&#10;工作日" numFmtId="0">
      <sharedItems containsBlank="true" containsMixedTypes="true" containsNumber="true" containsInteger="true" minValue="0" maxValue="25" count="0"/>
    </cacheField>
    <cacheField name="I列" numFmtId="0">
      <sharedItems containsString="false" containsBlank="true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4:$I$34" sheet="项目管理"/>
  </cacheSource>
  <cacheFields count="9">
    <cacheField name="项目" numFmtId="0">
      <sharedItems containsBlank="true" containsMixedTypes="true" containsNumber="true" minValue="1" maxValue="4.5" count="28">
        <s v="灰色底色为任务项，白色底色为子任务项"/>
        <n v="1"/>
        <n v="1.1"/>
        <n v="1.2"/>
        <n v="1.3"/>
        <n v="1.4"/>
        <n v="1.5"/>
        <n v="1.6"/>
        <n v="1.7"/>
        <n v="2"/>
        <n v="2.1"/>
        <n v="2.2"/>
        <n v="2.3"/>
        <n v="2.4"/>
        <n v="2.5"/>
        <n v="3"/>
        <n v="3.1"/>
        <n v="3.2"/>
        <n v="3.3"/>
        <n v="3.4"/>
        <n v="3.5"/>
        <n v="4"/>
        <n v="4.1"/>
        <n v="4.2"/>
        <n v="4.3"/>
        <n v="4.4"/>
        <n v="4.5"/>
        <m/>
      </sharedItems>
    </cacheField>
    <cacheField name="项目描述" numFmtId="0">
      <sharedItems containsBlank="true" count="0"/>
    </cacheField>
    <cacheField name="跟进人" numFmtId="0">
      <sharedItems containsBlank="true" count="0"/>
    </cacheField>
    <cacheField name="启动日期" numFmtId="0">
      <sharedItems containsDate="true" containsBlank="true" containsMixedTypes="true" minDate="2026-04-14T00:00:00.000Z" maxDate="2026-05-10T00:00:00.000Z" count="0"/>
    </cacheField>
    <cacheField name="完成日期" numFmtId="0">
      <sharedItems containsNonDate="false" containsDate="true" containsString="false" containsBlank="true" minDate="2026-04-15T00:00:00.000Z" maxDate="2026-05-18T00:00:00.000Z" count="0"/>
    </cacheField>
    <cacheField name="工时&#10;自然日" numFmtId="0">
      <sharedItems containsString="false" containsBlank="true" containsNumber="true" containsInteger="true" minValue="1" maxValue="35" count="0"/>
    </cacheField>
    <cacheField name="完成度 %" numFmtId="0">
      <sharedItems containsString="false" containsBlank="true" containsNumber="true" minValue="0" maxValue="1" count="0"/>
    </cacheField>
    <cacheField name="工时&#10;工作日" numFmtId="0">
      <sharedItems containsBlank="true" containsMixedTypes="true" containsNumber="true" containsInteger="true" minValue="0" maxValue="25" count="0"/>
    </cacheField>
    <cacheField name="I列" numFmtId="0">
      <sharedItems containsString="false" containsBlank="true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E$12:$G$16" firstHeaderRow="1" firstDataRow="1" firstDataCol="1"/>
  <pivotFields count="9">
    <pivotField dataField="true" compact="false" outline="false" showAll="false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false" outline="false" showAll="false"/>
    <pivotField axis="axisRow" compact="false" outline="false" showAll="false">
      <items count="5">
        <item h="true" x="0"/>
        <item x="1"/>
        <item x="2"/>
        <item x="3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2"/>
  </rowFields>
  <colFields count="1">
    <field x="-2"/>
  </colFields>
  <dataFields count="2">
    <dataField name="任务数量统计" fld="0" subtotal="count"/>
    <dataField name="总工时预估" fld="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B$12:$C$13" firstHeaderRow="1" firstDataRow="1" firstDataCol="1"/>
  <pivotFields count="9">
    <pivotField dataField="true" compact="false" outline="false" showAll="false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dataFields count="1">
    <dataField name="计数项:项目" fld="0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https://www.feishu.cn/hc/zh-CN/articles/762129829042" Type="http://schemas.openxmlformats.org/officeDocument/2006/relationships/hyperlink" TargetMode="External"></Relationship><Relationship Id="rId2" Target="../pivotTables/pivotTable1.xml" Type="http://schemas.openxmlformats.org/officeDocument/2006/relationships/pivotTable"></Relationship><Relationship Id="rId3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A6" ySplit="5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6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7"/>
    <col collapsed="false" customWidth="true" hidden="false" max="7" min="7" style="0" width="9"/>
    <col collapsed="false" customWidth="true" hidden="false" max="8" min="8" style="0" width="9"/>
    <col collapsed="false" customWidth="true" hidden="false" max="8" min="8" style="0" width="9"/>
    <col collapsed="false" customWidth="true" hidden="false" max="9" min="9" style="0" width="3"/>
    <col collapsed="false" customWidth="true" hidden="false" max="10" min="10" style="0" width="3"/>
    <col collapsed="false" customWidth="true" hidden="false" max="11" min="11" style="0" width="3"/>
    <col collapsed="false" customWidth="true" hidden="false" max="12" min="12" style="0" width="3"/>
    <col collapsed="false" customWidth="true" hidden="false" max="13" min="13" style="0" width="3"/>
    <col collapsed="false" customWidth="true" hidden="false" max="14" min="14" style="0" width="3"/>
    <col collapsed="false" customWidth="true" hidden="false" max="15" min="15" style="0" width="3"/>
    <col collapsed="false" customWidth="true" hidden="false" max="16" min="16" style="0" width="3"/>
    <col collapsed="false" customWidth="true" hidden="false" max="17" min="17" style="0" width="3"/>
    <col collapsed="false" customWidth="true" hidden="false" max="18" min="18" style="0" width="3"/>
    <col collapsed="false" customWidth="true" hidden="false" max="19" min="19" style="0" width="3"/>
    <col collapsed="false" customWidth="true" hidden="false" max="20" min="20" style="0" width="3"/>
    <col collapsed="false" customWidth="true" hidden="false" max="21" min="21" style="0" width="3"/>
    <col collapsed="false" customWidth="true" hidden="false" max="22" min="22" style="0" width="3"/>
    <col collapsed="false" customWidth="true" hidden="false" max="23" min="23" style="0" width="3"/>
    <col collapsed="false" customWidth="true" hidden="false" max="24" min="24" style="0" width="3"/>
    <col collapsed="false" customWidth="true" hidden="false" max="25" min="25" style="0" width="3"/>
    <col collapsed="false" customWidth="true" hidden="false" max="26" min="26" style="0" width="3"/>
    <col collapsed="false" customWidth="true" hidden="false" max="27" min="27" style="0" width="3"/>
    <col collapsed="false" customWidth="true" hidden="false" max="28" min="28" style="0" width="3"/>
    <col collapsed="false" customWidth="true" hidden="false" max="29" min="29" style="0" width="3"/>
    <col collapsed="false" customWidth="true" hidden="false" max="30" min="30" style="0" width="3"/>
    <col collapsed="false" customWidth="true" hidden="false" max="31" min="31" style="0" width="3"/>
    <col collapsed="false" customWidth="true" hidden="false" max="32" min="32" style="0" width="3"/>
    <col collapsed="false" customWidth="true" hidden="false" max="33" min="33" style="0" width="3"/>
    <col collapsed="false" customWidth="true" hidden="false" max="34" min="34" style="0" width="3"/>
    <col collapsed="false" customWidth="true" hidden="false" max="35" min="35" style="0" width="3"/>
    <col collapsed="false" customWidth="true" hidden="false" max="36" min="36" style="0" width="3"/>
    <col collapsed="false" customWidth="true" hidden="false" max="37" min="37" style="0" width="3"/>
    <col collapsed="false" customWidth="true" hidden="false" max="38" min="38" style="0" width="3"/>
    <col collapsed="false" customWidth="true" hidden="false" max="39" min="39" style="0" width="3"/>
    <col collapsed="false" customWidth="true" hidden="false" max="40" min="40" style="0" width="3"/>
    <col collapsed="false" customWidth="true" hidden="false" max="41" min="41" style="0" width="3"/>
    <col collapsed="false" customWidth="true" hidden="false" max="42" min="42" style="0" width="3"/>
    <col collapsed="false" customWidth="true" hidden="false" max="43" min="43" style="0" width="3"/>
    <col collapsed="false" customWidth="true" hidden="false" max="44" min="44" style="0" width="3"/>
    <col collapsed="false" customWidth="true" hidden="false" max="45" min="45" style="0" width="3"/>
    <col collapsed="false" customWidth="true" hidden="false" max="46" min="46" style="0" width="3"/>
    <col collapsed="false" customWidth="true" hidden="false" max="47" min="47" style="0" width="3"/>
    <col collapsed="false" customWidth="true" hidden="false" max="48" min="48" style="0" width="3"/>
    <col collapsed="false" customWidth="true" hidden="false" max="49" min="49" style="0" width="3"/>
    <col collapsed="false" customWidth="true" hidden="false" max="50" min="50" style="0" width="3"/>
    <col collapsed="false" customWidth="true" hidden="false" max="51" min="51" style="0" width="3"/>
    <col collapsed="false" customWidth="true" hidden="false" max="52" min="52" style="0" width="3"/>
    <col collapsed="false" customWidth="true" hidden="false" max="53" min="53" style="0" width="3"/>
    <col collapsed="false" customWidth="true" hidden="false" max="54" min="54" style="0" width="3"/>
    <col collapsed="false" customWidth="true" hidden="false" max="55" min="55" style="0" width="3"/>
    <col collapsed="false" customWidth="true" hidden="false" max="56" min="56" style="0" width="3"/>
    <col collapsed="false" customWidth="true" hidden="false" max="57" min="57" style="0" width="3"/>
    <col collapsed="false" customWidth="true" hidden="false" max="58" min="58" style="0" width="3"/>
    <col collapsed="false" customWidth="true" hidden="false" max="59" min="59" style="0" width="3"/>
    <col collapsed="false" customWidth="true" hidden="false" max="60" min="60" style="0" width="3"/>
    <col collapsed="false" customWidth="true" hidden="false" max="61" min="61" style="0" width="3"/>
    <col collapsed="false" customWidth="true" hidden="false" max="62" min="62" style="0" width="3"/>
    <col collapsed="false" customWidth="true" hidden="false" max="63" min="63" style="0" width="3"/>
    <col collapsed="false" customWidth="true" hidden="false" max="64" min="64" style="0" width="3"/>
    <col collapsed="false" customWidth="true" hidden="false" max="65" min="65" style="0" width="3"/>
  </cols>
  <sheetData>
    <row r="1">
      <c r="A1" s="32" t="str">
        <v>ABC项目</v>
      </c>
      <c r="B1" s="32"/>
      <c r="C1" s="32"/>
      <c r="D1" s="32"/>
      <c r="E1" s="32"/>
      <c r="F1" s="32"/>
      <c r="G1" s="32"/>
      <c r="H1" s="32"/>
      <c r="I1" s="32"/>
      <c r="J1" s="33" t="str">
        <v>支持自动高亮“今天”为红色⬇️
休假日期自动标识为淡黄色</v>
      </c>
      <c r="K1" s="33"/>
      <c r="L1" s="33"/>
      <c r="M1" s="33"/>
      <c r="N1" s="33"/>
      <c r="O1" s="33"/>
      <c r="P1" s="33"/>
      <c r="Q1" s="32"/>
      <c r="R1" s="35"/>
      <c r="S1" s="34" t="str">
        <v>待启动</v>
      </c>
      <c r="T1" s="34"/>
      <c r="U1" s="34"/>
      <c r="V1" s="32"/>
      <c r="W1" s="36"/>
      <c r="X1" s="34" t="str">
        <v>已完成</v>
      </c>
      <c r="Y1" s="34"/>
      <c r="Z1" s="34"/>
      <c r="AA1" s="32"/>
      <c r="AB1" s="32"/>
      <c r="AC1" s="32"/>
      <c r="AD1" s="32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>
      <c r="A2" s="5"/>
      <c r="B2" s="3" t="str">
        <v>启动日期</v>
      </c>
      <c r="C2" s="6">
        <v>46126</v>
      </c>
      <c r="D2" s="3" t="str">
        <v>➡️切换人名</v>
      </c>
      <c r="E2" s="2" t="str" xml:space="preserve">
        <v>@黄泡泡 </v>
      </c>
      <c r="F2" s="3" t="str">
        <v>显示第</v>
      </c>
      <c r="G2" s="3"/>
      <c r="H2" s="4">
        <v>1</v>
      </c>
      <c r="I2" s="5" t="str">
        <v>周</v>
      </c>
      <c r="J2" s="1">
        <f>"第 "&amp;(J4-($C$2-WEEKDAY($C$2,1)+2))/7+1&amp;" 周"</f>
      </c>
      <c r="K2" s="1"/>
      <c r="L2" s="1"/>
      <c r="M2" s="1"/>
      <c r="N2" s="1"/>
      <c r="O2" s="1"/>
      <c r="P2" s="1"/>
      <c r="Q2" s="1">
        <f>"第 "&amp;(Q4-($C$2-WEEKDAY($C$2,1)+2))/7+1&amp;" 周"</f>
      </c>
      <c r="R2" s="1"/>
      <c r="S2" s="1"/>
      <c r="T2" s="1"/>
      <c r="U2" s="1"/>
      <c r="V2" s="1"/>
      <c r="W2" s="1"/>
      <c r="X2" s="1">
        <f>"第 "&amp;(X4-($C$2-WEEKDAY($C$2,1)+2))/7+1&amp;" 周"</f>
      </c>
      <c r="Y2" s="1"/>
      <c r="Z2" s="1"/>
      <c r="AA2" s="1"/>
      <c r="AB2" s="1"/>
      <c r="AC2" s="1"/>
      <c r="AD2" s="1"/>
      <c r="AE2" s="1">
        <f>"第 "&amp;(AE4-($C$2-WEEKDAY($C$2,1)+2))/7+1&amp;" 周"</f>
      </c>
      <c r="AF2" s="1"/>
      <c r="AG2" s="1"/>
      <c r="AH2" s="1"/>
      <c r="AI2" s="1"/>
      <c r="AJ2" s="1"/>
      <c r="AK2" s="1"/>
      <c r="AL2" s="1">
        <f>"第 "&amp;(AL4-($C$2-WEEKDAY($C$2,1)+2))/7+1&amp;" 周"</f>
      </c>
      <c r="AM2" s="1"/>
      <c r="AN2" s="1"/>
      <c r="AO2" s="1"/>
      <c r="AP2" s="1"/>
      <c r="AQ2" s="1"/>
      <c r="AR2" s="1"/>
      <c r="AS2" s="1">
        <f>"第"&amp;(AS4-($C$2-WEEKDAY($C$2,1)+2))/7+1&amp;" 周"</f>
      </c>
      <c r="AT2" s="1"/>
      <c r="AU2" s="1"/>
      <c r="AV2" s="1"/>
      <c r="AW2" s="1"/>
      <c r="AX2" s="1"/>
      <c r="AY2" s="1"/>
      <c r="AZ2" s="1">
        <f>"第 "&amp;(AZ4-($C$2-WEEKDAY($C$2,1)+2))/7+1&amp;" 周"</f>
      </c>
      <c r="BA2" s="1"/>
      <c r="BB2" s="1"/>
      <c r="BC2" s="1"/>
      <c r="BD2" s="1"/>
      <c r="BE2" s="1"/>
      <c r="BF2" s="1"/>
      <c r="BG2" s="1">
        <f>"第 "&amp;(BG4-($C$2-WEEKDAY($C$2,1)+2))/7+1&amp;" 周"</f>
      </c>
      <c r="BH2" s="1"/>
      <c r="BI2" s="1"/>
      <c r="BJ2" s="1"/>
      <c r="BK2" s="1"/>
      <c r="BL2" s="1"/>
      <c r="BM2" s="1"/>
    </row>
    <row customHeight="true" ht="17" r="3">
      <c r="A3" s="5"/>
      <c r="B3" s="3" t="str">
        <v>项目负责人</v>
      </c>
      <c r="C3" s="2" t="s">
        <v>3</v>
      </c>
      <c r="D3" s="3" t="str">
        <v>查看工作量</v>
      </c>
      <c r="E3" s="59">
        <f>SUMIF(C6:C100,$E$2,H6:H100)</f>
      </c>
      <c r="F3" s="58" t="str">
        <v>修改⬆️可自动调整右侧时间轴长度</v>
      </c>
      <c r="G3" s="58"/>
      <c r="H3" s="58"/>
      <c r="I3" s="58"/>
      <c r="J3" s="57">
        <f>J4</f>
      </c>
      <c r="K3" s="57"/>
      <c r="L3" s="57"/>
      <c r="M3" s="57"/>
      <c r="N3" s="57"/>
      <c r="O3" s="57"/>
      <c r="P3" s="57"/>
      <c r="Q3" s="57">
        <f>Q4</f>
      </c>
      <c r="R3" s="57"/>
      <c r="S3" s="57"/>
      <c r="T3" s="57"/>
      <c r="U3" s="57"/>
      <c r="V3" s="57"/>
      <c r="W3" s="57"/>
      <c r="X3" s="57">
        <f>X4</f>
      </c>
      <c r="Y3" s="57"/>
      <c r="Z3" s="57"/>
      <c r="AA3" s="57"/>
      <c r="AB3" s="57"/>
      <c r="AC3" s="57"/>
      <c r="AD3" s="57"/>
      <c r="AE3" s="57">
        <f>AE4</f>
      </c>
      <c r="AF3" s="57"/>
      <c r="AG3" s="57"/>
      <c r="AH3" s="57"/>
      <c r="AI3" s="57"/>
      <c r="AJ3" s="57"/>
      <c r="AK3" s="57"/>
      <c r="AL3" s="57">
        <f>AL4</f>
      </c>
      <c r="AM3" s="57"/>
      <c r="AN3" s="57"/>
      <c r="AO3" s="57"/>
      <c r="AP3" s="57"/>
      <c r="AQ3" s="57"/>
      <c r="AR3" s="57"/>
      <c r="AS3" s="57">
        <f>AS4</f>
      </c>
      <c r="AT3" s="57"/>
      <c r="AU3" s="57"/>
      <c r="AV3" s="57"/>
      <c r="AW3" s="57"/>
      <c r="AX3" s="57"/>
      <c r="AY3" s="57"/>
      <c r="AZ3" s="57">
        <f>AZ4</f>
      </c>
      <c r="BA3" s="57"/>
      <c r="BB3" s="57"/>
      <c r="BC3" s="57"/>
      <c r="BD3" s="57"/>
      <c r="BE3" s="57"/>
      <c r="BF3" s="57"/>
      <c r="BG3" s="57">
        <f>BG4</f>
      </c>
      <c r="BH3" s="57"/>
      <c r="BI3" s="57"/>
      <c r="BJ3" s="57"/>
      <c r="BK3" s="57"/>
      <c r="BL3" s="57"/>
      <c r="BM3" s="57"/>
    </row>
    <row customHeight="true" ht="29" r="4">
      <c r="A4" s="54" t="str">
        <v>项目</v>
      </c>
      <c r="B4" s="54" t="str">
        <v>项目描述</v>
      </c>
      <c r="C4" s="52" t="str">
        <v>跟进人</v>
      </c>
      <c r="D4" s="52" t="str">
        <v>启动日期</v>
      </c>
      <c r="E4" s="52" t="str">
        <v>完成日期</v>
      </c>
      <c r="F4" s="52" t="str">
        <v>工时
自然日</v>
      </c>
      <c r="G4" s="52" t="str">
        <v>完成度 %</v>
      </c>
      <c r="H4" s="52" t="str">
        <v>工时
工作日</v>
      </c>
      <c r="I4" s="55"/>
      <c r="J4" s="56">
        <f>C2-WEEKDAY(C2,1)+2+7*(H2-1)</f>
      </c>
      <c r="K4" s="53">
        <f>J4+1</f>
      </c>
      <c r="L4" s="53">
        <f>K4+1</f>
      </c>
      <c r="M4" s="53">
        <f>L4+1</f>
      </c>
      <c r="N4" s="53">
        <f>M4+1</f>
      </c>
      <c r="O4" s="53">
        <f>N4+1</f>
      </c>
      <c r="P4" s="53">
        <f>O4+1</f>
      </c>
      <c r="Q4" s="53">
        <f>P4+1</f>
      </c>
      <c r="R4" s="53">
        <f>Q4+1</f>
      </c>
      <c r="S4" s="53">
        <f>R4+1</f>
      </c>
      <c r="T4" s="53">
        <f>S4+1</f>
      </c>
      <c r="U4" s="53">
        <f>T4+1</f>
      </c>
      <c r="V4" s="53">
        <f>U4+1</f>
      </c>
      <c r="W4" s="53">
        <f>V4+1</f>
      </c>
      <c r="X4" s="53">
        <f>W4+1</f>
      </c>
      <c r="Y4" s="53">
        <f>X4+1</f>
      </c>
      <c r="Z4" s="53">
        <f>Y4+1</f>
      </c>
      <c r="AA4" s="53">
        <f>Z4+1</f>
      </c>
      <c r="AB4" s="53">
        <f>AA4+1</f>
      </c>
      <c r="AC4" s="53">
        <f>AB4+1</f>
      </c>
      <c r="AD4" s="53">
        <f>AC4+1</f>
      </c>
      <c r="AE4" s="53">
        <f>AD4+1</f>
      </c>
      <c r="AF4" s="53">
        <f>AE4+1</f>
      </c>
      <c r="AG4" s="53">
        <f>AF4+1</f>
      </c>
      <c r="AH4" s="53">
        <f>AG4+1</f>
      </c>
      <c r="AI4" s="53">
        <f>AH4+1</f>
      </c>
      <c r="AJ4" s="53">
        <f>AI4+1</f>
      </c>
      <c r="AK4" s="53">
        <f>AJ4+1</f>
      </c>
      <c r="AL4" s="53">
        <f>AK4+1</f>
      </c>
      <c r="AM4" s="53">
        <f>AL4+1</f>
      </c>
      <c r="AN4" s="53">
        <f>AM4+1</f>
      </c>
      <c r="AO4" s="53">
        <f>AN4+1</f>
      </c>
      <c r="AP4" s="53">
        <f>AO4+1</f>
      </c>
      <c r="AQ4" s="53">
        <f>AP4+1</f>
      </c>
      <c r="AR4" s="53">
        <f>AQ4+1</f>
      </c>
      <c r="AS4" s="53">
        <f>AR4+1</f>
      </c>
      <c r="AT4" s="53">
        <f>AS4+1</f>
      </c>
      <c r="AU4" s="53">
        <f>AT4+1</f>
      </c>
      <c r="AV4" s="53">
        <f>AU4+1</f>
      </c>
      <c r="AW4" s="53">
        <f>AV4+1</f>
      </c>
      <c r="AX4" s="53">
        <f>AW4+1</f>
      </c>
      <c r="AY4" s="53">
        <f>AX4+1</f>
      </c>
      <c r="AZ4" s="53">
        <f>AY4+1</f>
      </c>
      <c r="BA4" s="53">
        <f>AZ4+1</f>
      </c>
      <c r="BB4" s="53">
        <f>BA4+1</f>
      </c>
      <c r="BC4" s="53">
        <f>BB4+1</f>
      </c>
      <c r="BD4" s="53">
        <f>BC4+1</f>
      </c>
      <c r="BE4" s="53">
        <f>BD4+1</f>
      </c>
      <c r="BF4" s="53">
        <f>BE4+1</f>
      </c>
      <c r="BG4" s="53">
        <f>BF4+1</f>
      </c>
      <c r="BH4" s="53">
        <f>BG4+1</f>
      </c>
      <c r="BI4" s="53">
        <f>BH4+1</f>
      </c>
      <c r="BJ4" s="53">
        <f>BI4+1</f>
      </c>
      <c r="BK4" s="53">
        <f>BJ4+1</f>
      </c>
      <c r="BL4" s="53">
        <f>BK4+1</f>
      </c>
      <c r="BM4" s="53">
        <f>BL4+1</f>
      </c>
    </row>
    <row customHeight="true" ht="19" r="5">
      <c r="A5" s="51" t="str">
        <v>灰色底色为任务项，白色底色为子任务项</v>
      </c>
      <c r="B5" s="51"/>
      <c r="C5" s="49"/>
      <c r="D5" s="51" t="str">
        <v>填写绿色区域，灰色底色部分由公式自动计算</v>
      </c>
      <c r="E5" s="51"/>
      <c r="F5" s="51"/>
      <c r="G5" s="51"/>
      <c r="H5" s="51"/>
      <c r="I5" s="5"/>
      <c r="J5" s="50">
        <f>CHOOSE(WEEKDAY(J4,1),"日","一","二","三","四","五","六")</f>
      </c>
      <c r="K5" s="50">
        <f>CHOOSE(WEEKDAY(K4,1),"日","一","二","三","四","五","六")</f>
      </c>
      <c r="L5" s="50">
        <f>CHOOSE(WEEKDAY(L4,1),"日","一","二","三","四","五","六")</f>
      </c>
      <c r="M5" s="50">
        <f>CHOOSE(WEEKDAY(M4,1),"日","一","二","三","四","五","六")</f>
      </c>
      <c r="N5" s="50">
        <f>CHOOSE(WEEKDAY(N4,1),"日","一","二","三","四","五","六")</f>
      </c>
      <c r="O5" s="50">
        <f>CHOOSE(WEEKDAY(O4,1),"日","一","二","三","四","五","六")</f>
      </c>
      <c r="P5" s="50">
        <f>CHOOSE(WEEKDAY(P4,1),"日","一","二","三","四","五","六")</f>
      </c>
      <c r="Q5" s="50">
        <f>CHOOSE(WEEKDAY(Q4,1),"日","一","二","三","四","五","六")</f>
      </c>
      <c r="R5" s="50">
        <f>CHOOSE(WEEKDAY(R4,1),"日","一","二","三","四","五","六")</f>
      </c>
      <c r="S5" s="50">
        <f>CHOOSE(WEEKDAY(S4,1),"日","一","二","三","四","五","六")</f>
      </c>
      <c r="T5" s="50">
        <f>CHOOSE(WEEKDAY(T4,1),"日","一","二","三","四","五","六")</f>
      </c>
      <c r="U5" s="50">
        <f>CHOOSE(WEEKDAY(U4,1),"日","一","二","三","四","五","六")</f>
      </c>
      <c r="V5" s="50">
        <f>CHOOSE(WEEKDAY(V4,1),"日","一","二","三","四","五","六")</f>
      </c>
      <c r="W5" s="50">
        <f>CHOOSE(WEEKDAY(W4,1),"日","一","二","三","四","五","六")</f>
      </c>
      <c r="X5" s="50">
        <f>CHOOSE(WEEKDAY(X4,1),"日","一","二","三","四","五","六")</f>
      </c>
      <c r="Y5" s="50">
        <f>CHOOSE(WEEKDAY(Y4,1),"日","一","二","三","四","五","六")</f>
      </c>
      <c r="Z5" s="50">
        <f>CHOOSE(WEEKDAY(Z4,1),"日","一","二","三","四","五","六")</f>
      </c>
      <c r="AA5" s="50">
        <f>CHOOSE(WEEKDAY(AA4,1),"日","一","二","三","四","五","六")</f>
      </c>
      <c r="AB5" s="50">
        <f>CHOOSE(WEEKDAY(AB4,1),"日","一","二","三","四","五","六")</f>
      </c>
      <c r="AC5" s="50">
        <f>CHOOSE(WEEKDAY(AC4,1),"日","一","二","三","四","五","六")</f>
      </c>
      <c r="AD5" s="50">
        <f>CHOOSE(WEEKDAY(AD4,1),"日","一","二","三","四","五","六")</f>
      </c>
      <c r="AE5" s="50">
        <f>CHOOSE(WEEKDAY(AE4,1),"日","一","二","三","四","五","六")</f>
      </c>
      <c r="AF5" s="50">
        <f>CHOOSE(WEEKDAY(AF4,1),"日","一","二","三","四","五","六")</f>
      </c>
      <c r="AG5" s="50">
        <f>CHOOSE(WEEKDAY(AG4,1),"日","一","二","三","四","五","六")</f>
      </c>
      <c r="AH5" s="50">
        <f>CHOOSE(WEEKDAY(AH4,1),"日","一","二","三","四","五","六")</f>
      </c>
      <c r="AI5" s="50">
        <f>CHOOSE(WEEKDAY(AI4,1),"日","一","二","三","四","五","六")</f>
      </c>
      <c r="AJ5" s="50">
        <f>CHOOSE(WEEKDAY(AJ4,1),"日","一","二","三","四","五","六")</f>
      </c>
      <c r="AK5" s="50">
        <f>CHOOSE(WEEKDAY(AK4,1),"日","一","二","三","四","五","六")</f>
      </c>
      <c r="AL5" s="50">
        <f>CHOOSE(WEEKDAY(AL4,1),"日","一","二","三","四","五","六")</f>
      </c>
      <c r="AM5" s="50">
        <f>CHOOSE(WEEKDAY(AM4,1),"日","一","二","三","四","五","六")</f>
      </c>
      <c r="AN5" s="50">
        <f>CHOOSE(WEEKDAY(AN4,1),"日","一","二","三","四","五","六")</f>
      </c>
      <c r="AO5" s="50">
        <f>CHOOSE(WEEKDAY(AO4,1),"日","一","二","三","四","五","六")</f>
      </c>
      <c r="AP5" s="50">
        <f>CHOOSE(WEEKDAY(AP4,1),"日","一","二","三","四","五","六")</f>
      </c>
      <c r="AQ5" s="50">
        <f>CHOOSE(WEEKDAY(AQ4,1),"日","一","二","三","四","五","六")</f>
      </c>
      <c r="AR5" s="50">
        <f>CHOOSE(WEEKDAY(AR4,1),"日","一","二","三","四","五","六")</f>
      </c>
      <c r="AS5" s="50">
        <f>CHOOSE(WEEKDAY(AS4,1),"日","一","二","三","四","五","六")</f>
      </c>
      <c r="AT5" s="50">
        <f>CHOOSE(WEEKDAY(AT4,1),"日","一","二","三","四","五","六")</f>
      </c>
      <c r="AU5" s="50">
        <f>CHOOSE(WEEKDAY(AU4,1),"日","一","二","三","四","五","六")</f>
      </c>
      <c r="AV5" s="50">
        <f>CHOOSE(WEEKDAY(AV4,1),"日","一","二","三","四","五","六")</f>
      </c>
      <c r="AW5" s="50">
        <f>CHOOSE(WEEKDAY(AW4,1),"日","一","二","三","四","五","六")</f>
      </c>
      <c r="AX5" s="50">
        <f>CHOOSE(WEEKDAY(AX4,1),"日","一","二","三","四","五","六")</f>
      </c>
      <c r="AY5" s="50">
        <f>CHOOSE(WEEKDAY(AY4,1),"日","一","二","三","四","五","六")</f>
      </c>
      <c r="AZ5" s="50">
        <f>CHOOSE(WEEKDAY(AZ4,1),"日","一","二","三","四","五","六")</f>
      </c>
      <c r="BA5" s="50">
        <f>CHOOSE(WEEKDAY(BA4,1),"日","一","二","三","四","五","六")</f>
      </c>
      <c r="BB5" s="50">
        <f>CHOOSE(WEEKDAY(BB4,1),"日","一","二","三","四","五","六")</f>
      </c>
      <c r="BC5" s="50">
        <f>CHOOSE(WEEKDAY(BC4,1),"日","一","二","三","四","五","六")</f>
      </c>
      <c r="BD5" s="50">
        <f>CHOOSE(WEEKDAY(BD4,1),"日","一","二","三","四","五","六")</f>
      </c>
      <c r="BE5" s="50">
        <f>CHOOSE(WEEKDAY(BE4,1),"日","一","二","三","四","五","六")</f>
      </c>
      <c r="BF5" s="50">
        <f>CHOOSE(WEEKDAY(BF4,1),"日","一","二","三","四","五","六")</f>
      </c>
      <c r="BG5" s="50">
        <f>CHOOSE(WEEKDAY(BG4,1),"日","一","二","三","四","五","六")</f>
      </c>
      <c r="BH5" s="50">
        <f>CHOOSE(WEEKDAY(BH4,1),"日","一","二","三","四","五","六")</f>
      </c>
      <c r="BI5" s="50">
        <f>CHOOSE(WEEKDAY(BI4,1),"日","一","二","三","四","五","六")</f>
      </c>
      <c r="BJ5" s="50">
        <f>CHOOSE(WEEKDAY(BJ4,1),"日","一","二","三","四","五","六")</f>
      </c>
      <c r="BK5" s="50">
        <f>CHOOSE(WEEKDAY(BK4,1),"日","一","二","三","四","五","六")</f>
      </c>
      <c r="BL5" s="50">
        <f>CHOOSE(WEEKDAY(BL4,1),"日","一","二","三","四","五","六")</f>
      </c>
      <c r="BM5" s="50">
        <f>CHOOSE(WEEKDAY(BM4,1),"日","一","二","三","四","五","六")</f>
      </c>
    </row>
    <row customHeight="true" ht="22" r="6">
      <c r="A6" s="19">
        <v>1</v>
      </c>
      <c r="B6" s="42" t="str">
        <v>需求分析</v>
      </c>
      <c r="C6" s="44"/>
      <c r="D6" s="43">
        <f>MIN(D7:D13)</f>
      </c>
      <c r="E6" s="46">
        <f>IF(ISBLANK(D6)," - ",IF(F6=0,D6,D6+F6-1))</f>
      </c>
      <c r="F6" s="45">
        <f>SUM(F7:F13)</f>
      </c>
      <c r="G6" s="47">
        <f>SUMPRODUCT(H7:H13,G7:G13)/SUM(H7:H13)</f>
      </c>
      <c r="H6" s="45">
        <f>IF(OR(E6=0,D6=0)," - ",NETWORKDAYS(D6,E6))</f>
      </c>
      <c r="I6" s="48"/>
      <c r="J6" s="40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</row>
    <row customHeight="true" ht="22" r="7">
      <c r="A7" s="18">
        <v>1.1</v>
      </c>
      <c r="B7" s="16" t="str">
        <v>【用户反馈分析】</v>
      </c>
      <c r="C7" s="38" t="s">
        <v>3</v>
      </c>
      <c r="D7" s="7">
        <v>46126</v>
      </c>
      <c r="E7" s="11">
        <f>IF(ISBLANK(D7)," - ",IF(F7=0,D7,D7+F7-1))</f>
      </c>
      <c r="F7" s="10">
        <v>2</v>
      </c>
      <c r="G7" s="13">
        <v>1</v>
      </c>
      <c r="H7" s="12">
        <f>IF(OR(E7=0,D7=0)," - ",NETWORKDAYS(D7,E7))</f>
      </c>
      <c r="I7" s="14"/>
      <c r="J7" s="8"/>
      <c r="K7" s="15"/>
      <c r="L7" s="1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</row>
    <row customHeight="true" ht="22" r="8">
      <c r="A8" s="18">
        <v>1.2</v>
      </c>
      <c r="B8" s="16" t="str">
        <v>【用户调研访谈】</v>
      </c>
      <c r="C8" s="9" t="s">
        <v>2</v>
      </c>
      <c r="D8" s="7">
        <v>46127</v>
      </c>
      <c r="E8" s="11">
        <f>IF(ISBLANK(D8)," - ",IF(F8=0,D8,D8+F8-1))</f>
      </c>
      <c r="F8" s="10">
        <v>2</v>
      </c>
      <c r="G8" s="13">
        <v>0.6</v>
      </c>
      <c r="H8" s="12">
        <f>IF(OR(E8=0,D8=0)," - ",NETWORKDAYS(D8,E8))</f>
      </c>
      <c r="I8" s="14"/>
      <c r="J8" s="8"/>
      <c r="K8" s="8"/>
      <c r="L8" s="15"/>
      <c r="M8" s="1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</row>
    <row customHeight="true" ht="22" r="9">
      <c r="A9" s="18">
        <v>1.3</v>
      </c>
      <c r="B9" s="16" t="str">
        <v>【竞品体验分析】</v>
      </c>
      <c r="C9" s="9" t="s">
        <v>2</v>
      </c>
      <c r="D9" s="7">
        <v>46128</v>
      </c>
      <c r="E9" s="11">
        <f>IF(ISBLANK(D9)," - ",IF(F9=0,D9,D9+F9-1))</f>
      </c>
      <c r="F9" s="10">
        <v>4</v>
      </c>
      <c r="G9" s="13">
        <v>0.5</v>
      </c>
      <c r="H9" s="12">
        <f>IF(OR(E9=0,D9=0)," - ",NETWORKDAYS(D9,E9))</f>
      </c>
      <c r="I9" s="14"/>
      <c r="J9" s="8"/>
      <c r="K9" s="8"/>
      <c r="L9" s="37"/>
      <c r="M9" s="15"/>
      <c r="N9" s="15"/>
      <c r="O9" s="17"/>
      <c r="P9" s="1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</row>
    <row customHeight="true" ht="22" r="10">
      <c r="A10" s="18">
        <v>1.4</v>
      </c>
      <c r="B10" s="16" t="str">
        <v>【功能数据分析】</v>
      </c>
      <c r="C10" s="9" t="s">
        <v>1</v>
      </c>
      <c r="D10" s="7">
        <v>46129</v>
      </c>
      <c r="E10" s="11">
        <f>IF(ISBLANK(D10)," - ",IF(F10=0,D10,D10+F10-1))</f>
      </c>
      <c r="F10" s="10">
        <v>5</v>
      </c>
      <c r="G10" s="13">
        <v>0.75</v>
      </c>
      <c r="H10" s="12">
        <f>IF(OR(E10=0,D10=0)," - ",NETWORKDAYS(D10,E10))</f>
      </c>
      <c r="I10" s="14"/>
      <c r="J10" s="8"/>
      <c r="K10" s="8"/>
      <c r="L10" s="8"/>
      <c r="M10" s="8"/>
      <c r="N10" s="15"/>
      <c r="O10" s="15"/>
      <c r="P10" s="15"/>
      <c r="Q10" s="17"/>
      <c r="R10" s="17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</row>
    <row customHeight="true" ht="22" r="11">
      <c r="A11" s="18">
        <v>1.5</v>
      </c>
      <c r="B11" s="16" t="str">
        <v>【需求目标制定】</v>
      </c>
      <c r="C11" s="9" t="s">
        <v>2</v>
      </c>
      <c r="D11" s="7">
        <v>46129</v>
      </c>
      <c r="E11" s="11">
        <f>IF(ISBLANK(D11)," - ",IF(F11=0,D11,D11+F11-1))</f>
      </c>
      <c r="F11" s="10">
        <v>8</v>
      </c>
      <c r="G11" s="13">
        <v>0.1</v>
      </c>
      <c r="H11" s="12">
        <f>IF(OR(E11=0,D11=0)," - ",NETWORKDAYS(D11,E11))</f>
      </c>
      <c r="I11" s="14"/>
      <c r="J11" s="8"/>
      <c r="K11" s="8"/>
      <c r="L11" s="8"/>
      <c r="M11" s="8"/>
      <c r="N11" s="17"/>
      <c r="O11" s="17"/>
      <c r="P11" s="17"/>
      <c r="Q11" s="17"/>
      <c r="R11" s="17"/>
      <c r="S11" s="17"/>
      <c r="T11" s="17"/>
      <c r="U11" s="17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</row>
    <row customHeight="true" ht="22" r="12">
      <c r="A12" s="18">
        <v>1.6</v>
      </c>
      <c r="B12" s="16" t="str">
        <v>【任务xxx】</v>
      </c>
      <c r="C12" s="9" t="s">
        <v>1</v>
      </c>
      <c r="D12" s="7">
        <v>46130</v>
      </c>
      <c r="E12" s="11">
        <f>IF(ISBLANK(D12)," - ",IF(F12=0,D12,D12+F12-1))</f>
      </c>
      <c r="F12" s="10">
        <v>7</v>
      </c>
      <c r="G12" s="13">
        <v>0.3</v>
      </c>
      <c r="H12" s="12">
        <f>IF(OR(E12=0,D12=0)," - ",NETWORKDAYS(D12,E12))</f>
      </c>
      <c r="I12" s="14"/>
      <c r="J12" s="8"/>
      <c r="K12" s="8"/>
      <c r="L12" s="8"/>
      <c r="M12" s="8"/>
      <c r="N12" s="8"/>
      <c r="O12" s="15"/>
      <c r="P12" s="15"/>
      <c r="Q12" s="17"/>
      <c r="R12" s="17"/>
      <c r="S12" s="17"/>
      <c r="T12" s="17"/>
      <c r="U12" s="17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</row>
    <row customHeight="true" ht="22" r="13">
      <c r="A13" s="18">
        <v>1.7</v>
      </c>
      <c r="B13" s="16" t="str">
        <v>【任务xxx】</v>
      </c>
      <c r="C13" s="38" t="s">
        <v>3</v>
      </c>
      <c r="D13" s="7">
        <v>46130</v>
      </c>
      <c r="E13" s="11">
        <f>IF(ISBLANK(D13)," - ",IF(F13=0,D13,D13+F13-1))</f>
      </c>
      <c r="F13" s="10">
        <v>7</v>
      </c>
      <c r="G13" s="13">
        <v>0</v>
      </c>
      <c r="H13" s="12">
        <f>IF(OR(E13=0,D13=0)," - ",NETWORKDAYS(D13,E13))</f>
      </c>
      <c r="I13" s="14"/>
      <c r="J13" s="8"/>
      <c r="K13" s="8"/>
      <c r="L13" s="8"/>
      <c r="M13" s="8"/>
      <c r="N13" s="8"/>
      <c r="O13" s="17"/>
      <c r="P13" s="17"/>
      <c r="Q13" s="17"/>
      <c r="R13" s="17"/>
      <c r="S13" s="17"/>
      <c r="T13" s="17"/>
      <c r="U13" s="17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</row>
    <row customHeight="true" ht="22" r="14">
      <c r="A14" s="19">
        <v>2</v>
      </c>
      <c r="B14" s="26" t="str">
        <v>产品设计</v>
      </c>
      <c r="C14" s="25"/>
      <c r="D14" s="23">
        <f>MIN(D15:D19)</f>
      </c>
      <c r="E14" s="23">
        <f>IF(ISBLANK(D14)," - ",IF(F14=0,D14,D14+F14-1))</f>
      </c>
      <c r="F14" s="21">
        <f>SUM(F15:F19:F19)</f>
      </c>
      <c r="G14" s="22">
        <f>SUMPRODUCT(H15:H19,G15:G19)/SUM(H15:H19)</f>
      </c>
      <c r="H14" s="21">
        <f>IF(OR(E14=0,D14=0)," - ",NETWORKDAYS(D14,E14))</f>
      </c>
      <c r="I14" s="24"/>
      <c r="J14" s="20"/>
      <c r="K14" s="20"/>
      <c r="L14" s="20"/>
      <c r="M14" s="20"/>
      <c r="N14" s="20"/>
      <c r="O14" s="20"/>
      <c r="P14" s="20"/>
      <c r="Q14" s="20"/>
      <c r="R14" s="20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</row>
    <row customHeight="true" ht="22" r="15">
      <c r="A15" s="18">
        <v>2.1</v>
      </c>
      <c r="B15" s="16" t="str">
        <v>【需求战略层和范围层评审】</v>
      </c>
      <c r="C15" s="9" t="s">
        <v>2</v>
      </c>
      <c r="D15" s="7">
        <v>46134</v>
      </c>
      <c r="E15" s="11">
        <f>IF(ISBLANK(D15)," - ",IF(F15=0,D15,D15+F15-1))</f>
      </c>
      <c r="F15" s="10">
        <v>4</v>
      </c>
      <c r="G15" s="13">
        <v>0</v>
      </c>
      <c r="H15" s="12">
        <f>IF(OR(E15=0,D15=0)," - ",NETWORKDAYS(D15,E15))</f>
      </c>
      <c r="I15" s="14"/>
      <c r="J15" s="8"/>
      <c r="K15" s="8"/>
      <c r="L15" s="8"/>
      <c r="M15" s="8"/>
      <c r="N15" s="8"/>
      <c r="O15" s="8"/>
      <c r="P15" s="8"/>
      <c r="Q15" s="8"/>
      <c r="R15" s="8"/>
      <c r="S15" s="17"/>
      <c r="T15" s="17"/>
      <c r="U15" s="17"/>
      <c r="V15" s="17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</row>
    <row customHeight="true" ht="22" r="16">
      <c r="A16" s="18">
        <v>2.2</v>
      </c>
      <c r="B16" s="16" t="str">
        <v>【功能交互及流程设计】</v>
      </c>
      <c r="C16" s="38" t="s">
        <v>3</v>
      </c>
      <c r="D16" s="7">
        <v>46135</v>
      </c>
      <c r="E16" s="11">
        <f>IF(ISBLANK(D16)," - ",IF(F16=0,D16,D16+F16-1))</f>
      </c>
      <c r="F16" s="10">
        <v>3</v>
      </c>
      <c r="G16" s="13">
        <v>0</v>
      </c>
      <c r="H16" s="12">
        <f>IF(OR(E16=0,D16=0)," - ",NETWORKDAYS(D16,E16))</f>
      </c>
      <c r="I16" s="14"/>
      <c r="J16" s="8"/>
      <c r="K16" s="8"/>
      <c r="L16" s="8"/>
      <c r="M16" s="8"/>
      <c r="N16" s="8"/>
      <c r="O16" s="8"/>
      <c r="P16" s="8"/>
      <c r="Q16" s="8"/>
      <c r="R16" s="8"/>
      <c r="S16" s="8"/>
      <c r="T16" s="17"/>
      <c r="U16" s="17"/>
      <c r="V16" s="17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</row>
    <row customHeight="true" ht="22" r="17">
      <c r="A17" s="18">
        <v>2.3</v>
      </c>
      <c r="B17" s="16" t="str">
        <v>【产品PRD评审】</v>
      </c>
      <c r="C17" s="9" t="s">
        <v>1</v>
      </c>
      <c r="D17" s="7">
        <v>46135</v>
      </c>
      <c r="E17" s="11">
        <f>IF(ISBLANK(D17)," - ",IF(F17=0,D17,D17+F17-1))</f>
      </c>
      <c r="F17" s="10">
        <v>3</v>
      </c>
      <c r="G17" s="13">
        <v>0</v>
      </c>
      <c r="H17" s="12">
        <f>IF(OR(E17=0,D17=0)," - ",NETWORKDAYS(D17,E17))</f>
      </c>
      <c r="I17" s="14"/>
      <c r="J17" s="8"/>
      <c r="K17" s="8"/>
      <c r="L17" s="8"/>
      <c r="M17" s="8"/>
      <c r="N17" s="8"/>
      <c r="O17" s="8"/>
      <c r="P17" s="8"/>
      <c r="Q17" s="8"/>
      <c r="R17" s="8"/>
      <c r="S17" s="8"/>
      <c r="T17" s="17"/>
      <c r="U17" s="17"/>
      <c r="V17" s="17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</row>
    <row customHeight="true" ht="22" r="18">
      <c r="A18" s="18">
        <v>2.4</v>
      </c>
      <c r="B18" s="16" t="str">
        <v>【需求宣讲】</v>
      </c>
      <c r="C18" s="9" t="s">
        <v>2</v>
      </c>
      <c r="D18" s="7">
        <v>46136</v>
      </c>
      <c r="E18" s="11">
        <f>IF(ISBLANK(D18)," - ",IF(F18=0,D18,D18+F18-1))</f>
      </c>
      <c r="F18" s="10">
        <v>6</v>
      </c>
      <c r="G18" s="13">
        <v>0</v>
      </c>
      <c r="H18" s="12">
        <f>IF(OR(E18=0,D18=0)," - ",NETWORKDAYS(D18,E18))</f>
      </c>
      <c r="I18" s="1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7"/>
      <c r="V18" s="17"/>
      <c r="W18" s="17"/>
      <c r="X18" s="17"/>
      <c r="Y18" s="17"/>
      <c r="Z18" s="17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</row>
    <row customHeight="true" ht="22" r="19">
      <c r="A19" s="18">
        <v>2.5</v>
      </c>
      <c r="B19" s="16" t="str">
        <v>【文案/用户引导设计】</v>
      </c>
      <c r="C19" s="38" t="s">
        <v>3</v>
      </c>
      <c r="D19" s="7">
        <v>46136</v>
      </c>
      <c r="E19" s="11">
        <f>IF(ISBLANK(D19)," - ",IF(F19=0,D19,D19+F19-1))</f>
      </c>
      <c r="F19" s="10">
        <v>3</v>
      </c>
      <c r="G19" s="13">
        <v>0</v>
      </c>
      <c r="H19" s="12">
        <f>IF(OR(E19=0,D19=0)," - ",NETWORKDAYS(D19,E19))</f>
      </c>
      <c r="I19" s="1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17"/>
      <c r="V19" s="17"/>
      <c r="W19" s="17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</row>
    <row customHeight="true" ht="22" r="20">
      <c r="A20" s="19">
        <v>3</v>
      </c>
      <c r="B20" s="26" t="str">
        <v>研发</v>
      </c>
      <c r="C20" s="25"/>
      <c r="D20" s="23">
        <f>MIN(D21:D25)</f>
      </c>
      <c r="E20" s="23">
        <f>IF(ISBLANK(D20)," - ",IF(F20=0,D20,D20+F20-1))</f>
      </c>
      <c r="F20" s="21">
        <f>SUM(F21:F25)</f>
      </c>
      <c r="G20" s="22">
        <f>SUMPRODUCT(H21:H25,G21:G25)/SUM(H21:H25)</f>
      </c>
      <c r="H20" s="21">
        <f>IF(OR(E20=0,D20=0)," - ",NETWORKDAYS(D20,E20))</f>
      </c>
      <c r="I20" s="24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</row>
    <row customHeight="true" ht="22" r="21">
      <c r="A21" s="18">
        <v>3.1</v>
      </c>
      <c r="B21" s="16" t="str">
        <v>【技术方案评审】</v>
      </c>
      <c r="C21" s="9" t="s">
        <v>2</v>
      </c>
      <c r="D21" s="7">
        <v>46141</v>
      </c>
      <c r="E21" s="11">
        <f>IF(ISBLANK(D21)," - ",IF(F21=0,D21,D21+F21-1))</f>
      </c>
      <c r="F21" s="10">
        <v>4</v>
      </c>
      <c r="G21" s="13">
        <v>0</v>
      </c>
      <c r="H21" s="12">
        <f>IF(OR(E21=0,D21=0)," - ",NETWORKDAYS(D21,E21))</f>
      </c>
      <c r="I21" s="1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7"/>
      <c r="AA21" s="17"/>
      <c r="AB21" s="17"/>
      <c r="AC21" s="1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</row>
    <row customHeight="true" ht="22" r="22">
      <c r="A22" s="18">
        <v>3.2</v>
      </c>
      <c r="B22" s="16" t="str">
        <v>【研发计划制定】</v>
      </c>
      <c r="C22" s="38" t="s">
        <v>3</v>
      </c>
      <c r="D22" s="7">
        <v>46142</v>
      </c>
      <c r="E22" s="11">
        <f>IF(ISBLANK(D22)," - ",IF(F22=0,D22,D22+F22-1))</f>
      </c>
      <c r="F22" s="10">
        <v>3</v>
      </c>
      <c r="G22" s="13">
        <v>0</v>
      </c>
      <c r="H22" s="12">
        <f>IF(OR(E22=0,D22=0)," - ",NETWORKDAYS(D22,E22))</f>
      </c>
      <c r="I22" s="1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7"/>
      <c r="AB22" s="17"/>
      <c r="AC22" s="1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customHeight="true" ht="22" r="23">
      <c r="A23" s="18">
        <v>3.3</v>
      </c>
      <c r="B23" s="16" t="str">
        <v>【任务xxx】</v>
      </c>
      <c r="C23" s="9" t="s">
        <v>1</v>
      </c>
      <c r="D23" s="7">
        <v>46143</v>
      </c>
      <c r="E23" s="11">
        <f>IF(ISBLANK(D23)," - ",IF(F23=0,D23,D23+F23-1))</f>
      </c>
      <c r="F23" s="10">
        <v>3</v>
      </c>
      <c r="G23" s="13">
        <v>0</v>
      </c>
      <c r="H23" s="12">
        <f>IF(OR(E23=0,D23=0)," - ",NETWORKDAYS(D23,E23))</f>
      </c>
      <c r="I23" s="1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17"/>
      <c r="AC23" s="17"/>
      <c r="AD23" s="17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</row>
    <row customHeight="true" ht="22" r="24">
      <c r="A24" s="18">
        <v>3.4</v>
      </c>
      <c r="B24" s="16" t="str">
        <v>【任务xxx】</v>
      </c>
      <c r="C24" s="9" t="s">
        <v>2</v>
      </c>
      <c r="D24" s="7">
        <v>46143</v>
      </c>
      <c r="E24" s="11">
        <f>IF(ISBLANK(D24)," - ",IF(F24=0,D24,D24+F24-1))</f>
      </c>
      <c r="F24" s="10">
        <v>6</v>
      </c>
      <c r="G24" s="13">
        <v>0</v>
      </c>
      <c r="H24" s="12">
        <f>IF(OR(E24=0,D24=0)," - ",NETWORKDAYS(D24,E24))</f>
      </c>
      <c r="I24" s="1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17"/>
      <c r="AC24" s="17"/>
      <c r="AD24" s="17"/>
      <c r="AE24" s="17"/>
      <c r="AF24" s="17"/>
      <c r="AG24" s="17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</row>
    <row customHeight="true" ht="22" r="25">
      <c r="A25" s="18">
        <v>3.5</v>
      </c>
      <c r="B25" s="16" t="str">
        <v>【任务xxx】</v>
      </c>
      <c r="C25" s="38" t="s">
        <v>3</v>
      </c>
      <c r="D25" s="7">
        <v>46143</v>
      </c>
      <c r="E25" s="11">
        <f>IF(ISBLANK(D25)," - ",IF(F25=0,D25,D25+F25-1))</f>
      </c>
      <c r="F25" s="10">
        <v>3</v>
      </c>
      <c r="G25" s="13">
        <v>0</v>
      </c>
      <c r="H25" s="12">
        <f>IF(OR(E25=0,D25=0)," - ",NETWORKDAYS(D25,E25))</f>
      </c>
      <c r="I25" s="1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17"/>
      <c r="AC25" s="17"/>
      <c r="AD25" s="17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</row>
    <row customHeight="true" ht="22" r="26">
      <c r="A26" s="19">
        <v>4</v>
      </c>
      <c r="B26" s="26" t="str">
        <v>测试</v>
      </c>
      <c r="C26" s="25"/>
      <c r="D26" s="23">
        <f>MIN(D27:D31)</f>
      </c>
      <c r="E26" s="23">
        <f>IF(ISBLANK(D26)," - ",IF(F26=0,D26,D26+F26-1))</f>
      </c>
      <c r="F26" s="21">
        <f>SUM(F27:F31)</f>
      </c>
      <c r="G26" s="22">
        <f>SUMPRODUCT(H27:H31,G27:G31)/SUM(H27:H31)</f>
      </c>
      <c r="H26" s="21">
        <f>IF(OR(E26=0,D26=0)," - ",NETWORKDAYS(D26,E26))</f>
      </c>
      <c r="I26" s="24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17"/>
      <c r="AH26" s="17"/>
      <c r="AI26" s="17"/>
      <c r="AJ26" s="17"/>
      <c r="AK26" s="17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</row>
    <row customHeight="true" ht="22" r="27">
      <c r="A27" s="18">
        <v>4.1</v>
      </c>
      <c r="B27" s="16" t="str">
        <v>【任务xxx】</v>
      </c>
      <c r="C27" s="9" t="s">
        <v>2</v>
      </c>
      <c r="D27" s="7">
        <v>46148</v>
      </c>
      <c r="E27" s="11">
        <f>IF(ISBLANK(D27)," - ",IF(F27=0,D27,D27+F27-1))</f>
      </c>
      <c r="F27" s="10">
        <v>1</v>
      </c>
      <c r="G27" s="13">
        <v>0</v>
      </c>
      <c r="H27" s="12">
        <f>IF(OR(E27=0,D27=0)," - ",NETWORKDAYS(D27,E27))</f>
      </c>
      <c r="I27" s="1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7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</row>
    <row customHeight="true" ht="22" r="28">
      <c r="A28" s="18">
        <v>4.2</v>
      </c>
      <c r="B28" s="16" t="str">
        <v>【任务xxx】</v>
      </c>
      <c r="C28" s="38" t="s">
        <v>3</v>
      </c>
      <c r="D28" s="7">
        <v>46148</v>
      </c>
      <c r="E28" s="11">
        <f>IF(ISBLANK(D28)," - ",IF(F28=0,D28,D28+F28-1))</f>
      </c>
      <c r="F28" s="10">
        <v>1</v>
      </c>
      <c r="G28" s="13">
        <v>0</v>
      </c>
      <c r="H28" s="12">
        <f>IF(OR(E28=0,D28=0)," - ",NETWORKDAYS(D28,E28))</f>
      </c>
      <c r="I28" s="1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7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</row>
    <row customHeight="true" ht="22" r="29">
      <c r="A29" s="18">
        <v>4.3</v>
      </c>
      <c r="B29" s="16" t="str">
        <v>【任务xxx】</v>
      </c>
      <c r="C29" s="9" t="s">
        <v>1</v>
      </c>
      <c r="D29" s="7">
        <v>46150</v>
      </c>
      <c r="E29" s="11">
        <f>IF(ISBLANK(D29)," - ",IF(F29=0,D29,D29+F29-1))</f>
      </c>
      <c r="F29" s="10">
        <v>1</v>
      </c>
      <c r="G29" s="13">
        <v>0</v>
      </c>
      <c r="H29" s="12">
        <f>IF(OR(E29=0,D29=0)," - ",NETWORKDAYS(D29,E29))</f>
      </c>
      <c r="I29" s="1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7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</row>
    <row customHeight="true" ht="22" r="30">
      <c r="A30" s="18">
        <v>4.4</v>
      </c>
      <c r="B30" s="16" t="str">
        <v>【任务xxx】</v>
      </c>
      <c r="C30" s="9" t="s">
        <v>2</v>
      </c>
      <c r="D30" s="7">
        <v>46150</v>
      </c>
      <c r="E30" s="11">
        <f>IF(ISBLANK(D30)," - ",IF(F30=0,D30,D30+F30-1))</f>
      </c>
      <c r="F30" s="10">
        <v>1</v>
      </c>
      <c r="G30" s="13">
        <v>0</v>
      </c>
      <c r="H30" s="12">
        <f>IF(OR(E30=0,D30=0)," - ",NETWORKDAYS(D30,E30))</f>
      </c>
      <c r="I30" s="1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7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</row>
    <row customHeight="true" ht="22" r="31">
      <c r="A31" s="18">
        <v>4.5</v>
      </c>
      <c r="B31" s="16" t="str">
        <v>【任务xxx】</v>
      </c>
      <c r="C31" s="38" t="s">
        <v>3</v>
      </c>
      <c r="D31" s="7">
        <v>46152</v>
      </c>
      <c r="E31" s="11">
        <f>IF(ISBLANK(D31)," - ",IF(F31=0,D31,D31+F31-1))</f>
      </c>
      <c r="F31" s="10">
        <v>1</v>
      </c>
      <c r="G31" s="13">
        <v>0</v>
      </c>
      <c r="H31" s="12">
        <f>IF(OR(E31=0,D31=0)," - ",NETWORKDAYS(D31,E31))</f>
      </c>
      <c r="I31" s="1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7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</row>
    <row customHeight="true" ht="22" r="32">
      <c r="A32" s="8"/>
      <c r="B32" s="31"/>
      <c r="C32" s="31"/>
      <c r="D32" s="29"/>
      <c r="E32" s="29"/>
      <c r="F32" s="28"/>
      <c r="G32" s="30"/>
      <c r="H32" s="28">
        <f>IF(OR(E32=0,D32=0)," - ",NETWORKDAYS(D32,E32))</f>
      </c>
      <c r="I32" s="2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</row>
    <row customHeight="true" ht="22" r="33">
      <c r="A33" s="8"/>
      <c r="B33" s="31"/>
      <c r="C33" s="31"/>
      <c r="D33" s="29"/>
      <c r="E33" s="29"/>
      <c r="F33" s="28"/>
      <c r="G33" s="30"/>
      <c r="H33" s="28">
        <f>IF(OR(E33=0,D33=0)," - ",NETWORKDAYS(D33,E33))</f>
      </c>
      <c r="I33" s="2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</row>
    <row customHeight="true" ht="22" r="34">
      <c r="A34" s="8"/>
      <c r="B34" s="31"/>
      <c r="C34" s="31"/>
      <c r="D34" s="29"/>
      <c r="E34" s="29"/>
      <c r="F34" s="28"/>
      <c r="G34" s="30"/>
      <c r="H34" s="28"/>
      <c r="I34" s="27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</row>
  </sheetData>
  <mergeCells>
    <mergeCell ref="A1:I1"/>
    <mergeCell ref="J1:P1"/>
    <mergeCell ref="S1:U1"/>
    <mergeCell ref="X1:Z1"/>
    <mergeCell ref="F2:G2"/>
    <mergeCell ref="J2:P2"/>
    <mergeCell ref="Q2:W2"/>
    <mergeCell ref="X2:AD2"/>
    <mergeCell ref="AE2:AK2"/>
    <mergeCell ref="AL2:AR2"/>
    <mergeCell ref="AS2:AY2"/>
    <mergeCell ref="AZ2:BF2"/>
    <mergeCell ref="BG2:BM2"/>
    <mergeCell ref="F3:I3"/>
    <mergeCell ref="J3:P3"/>
    <mergeCell ref="Q3:W3"/>
    <mergeCell ref="X3:AD3"/>
    <mergeCell ref="AE3:AK3"/>
    <mergeCell ref="AL3:AR3"/>
    <mergeCell ref="AS3:AY3"/>
    <mergeCell ref="AZ3:BF3"/>
    <mergeCell ref="BG3:BM3"/>
    <mergeCell ref="A5:B5"/>
    <mergeCell ref="D5:H5"/>
  </mergeCells>
  <conditionalFormatting sqref="J4:BM5">
    <cfRule dxfId="0" priority="2" stopIfTrue="true" type="expression">
      <formula>NETWORKDAYS.INTL(J$4,J$4,1,'节假日一览表'!$B$2:$B$32)+COUNTIFS('节假日一览表'!$D$2:$D$10,"&gt;="&amp;J$4,'节假日一览表'!$D$2:$D$10,"&lt;="&amp;J$4)=0</formula>
    </cfRule>
  </conditionalFormatting>
  <conditionalFormatting sqref="G6:G34">
    <cfRule priority="3" type="dataBar">
      <dataBar showValue="true">
        <cfvo type="num" val="0"/>
        <cfvo type="num" val="1"/>
        <color rgb="FFA5A5A5"/>
      </dataBar>
      <extLst>
        <ext xmlns:x14="http://schemas.microsoft.com/office/spreadsheetml/2009/9/main" uri="{B025F937-C7B1-47D3-B67F-A62EFF666E3E}">
          <x14:id>{9562A1F3-5A37-4981-8BF7-C757B8288A89}</x14:id>
        </ext>
      </extLst>
    </cfRule>
  </conditionalFormatting>
  <conditionalFormatting sqref="J4:BM34">
    <cfRule dxfId="1" priority="4" stopIfTrue="true" type="expression">
      <formula>J$4=TODAY()</formula>
    </cfRule>
  </conditionalFormatting>
  <conditionalFormatting sqref="J4:BM5">
    <cfRule dxfId="2" priority="5" stopIfTrue="true" type="expression">
      <formula>J$4=TODAY()</formula>
    </cfRule>
  </conditionalFormatting>
  <conditionalFormatting sqref="J6:BM34">
    <cfRule dxfId="3" priority="6" stopIfTrue="true" type="expression">
      <formula>AND($D6&lt;=J$4,ROUNDDOWN(($E6-$D6+1)*$G6,0)+$D6-1&gt;=J$4)</formula>
    </cfRule>
  </conditionalFormatting>
  <conditionalFormatting sqref="J6:BM34">
    <cfRule dxfId="4" priority="7" stopIfTrue="true" type="expression">
      <formula>AND(NOT(ISBLANK($D6)),$D6&lt;=J$4,$E6&gt;=J$4)</formula>
    </cfRule>
  </conditionalFormatting>
  <dataValidations count="2">
    <dataValidation allowBlank="true" errorStyle="stop" showErrorMessage="true" sqref="E2" type="list">
      <formula1>$C$6:$C$31</formula1>
    </dataValidation>
    <dataValidation allowBlank="true" errorStyle="stop" showErrorMessage="true" sqref="H2" type="list">
      <formula1>"1,2,3,4,5,6,7,8"</formula1>
    </dataValidation>
  </dataValidation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2A1F3-5A37-4981-8BF7-C757B8288A89}">
            <x14:dataBar minLength="0" maxLength="100" gradient="false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G6:G34</xm:sqref>
        </x14:conditionalFormatting>
      </x14:conditionalFormatting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32"/>
    <col collapsed="false" customWidth="true" hidden="false" max="5" min="5" style="0" width="32"/>
    <col collapsed="false" customWidth="true" hidden="false" max="6" min="6" style="0" width="32"/>
    <col collapsed="false" customWidth="true" hidden="false" max="7" min="7" style="0" width="32"/>
  </cols>
  <sheetData>
    <row customHeight="true" ht="17" r="1">
      <c r="A1" t="str">
        <v>任务</v>
      </c>
      <c r="B1" t="str">
        <v>所属项目</v>
      </c>
      <c r="C1" t="str">
        <v>状态</v>
      </c>
      <c r="D1" t="str">
        <v>任务执行人</v>
      </c>
      <c r="E1" t="str">
        <v>开始时间</v>
      </c>
      <c r="F1" t="str">
        <v>截止时间</v>
      </c>
      <c r="G1" t="str">
        <v>优先级</v>
      </c>
    </row>
    <row customHeight="true" ht="17" r="2">
      <c r="A2" t="str">
        <v>新功能阶段推广运营</v>
      </c>
      <c r="B2" s="61" t="str">
        <v>创新功能探索</v>
      </c>
      <c r="C2" s="61" t="str">
        <v>未开始</v>
      </c>
      <c r="D2" t="str">
        <v>白小丁</v>
      </c>
      <c r="E2" s="65">
        <v>46229</v>
      </c>
      <c r="F2" s="65">
        <v>46252</v>
      </c>
      <c r="G2" s="61" t="str">
        <v>P2</v>
      </c>
    </row>
    <row customHeight="true" ht="17" r="3">
      <c r="A3" t="str">
        <v>根据用户反馈迭代功能</v>
      </c>
      <c r="B3" s="61" t="str">
        <v>提升用户体验</v>
      </c>
      <c r="C3" s="61" t="str">
        <v>未开始</v>
      </c>
      <c r="D3" t="str">
        <v>沈小茜</v>
      </c>
      <c r="E3" s="65">
        <v>46229</v>
      </c>
      <c r="F3" s="65">
        <v>46246</v>
      </c>
      <c r="G3" s="61" t="str">
        <v>P1</v>
      </c>
    </row>
    <row customHeight="true" ht="17" r="4">
      <c r="A4" t="str">
        <v>连通线上线下用户体验</v>
      </c>
      <c r="B4" s="61" t="str">
        <v>完成用户拉新</v>
      </c>
      <c r="C4" s="61" t="str">
        <v>未开始</v>
      </c>
      <c r="D4" t="str">
        <v>石新宇</v>
      </c>
      <c r="E4" s="65">
        <v>46214</v>
      </c>
      <c r="F4" s="65">
        <v>46232</v>
      </c>
      <c r="G4" s="61" t="str">
        <v>P1</v>
      </c>
    </row>
    <row customHeight="true" ht="17" r="5">
      <c r="A5" t="str">
        <v>引导用户加入社群</v>
      </c>
      <c r="B5" s="61" t="str">
        <v>完成用户拉新</v>
      </c>
      <c r="C5" s="61" t="str">
        <v>未开始</v>
      </c>
      <c r="D5" t="str">
        <v>石新宇</v>
      </c>
      <c r="E5" s="65">
        <v>46216</v>
      </c>
      <c r="F5" s="65">
        <v>46272</v>
      </c>
      <c r="G5" s="61" t="str">
        <v>P0</v>
      </c>
    </row>
    <row customHeight="true" ht="17" r="6">
      <c r="A6" t="str">
        <v>修补已知功能漏洞</v>
      </c>
      <c r="B6" s="61" t="str">
        <v>优化产品功能</v>
      </c>
      <c r="C6" s="61" t="str">
        <v>未开始</v>
      </c>
      <c r="D6" t="str">
        <v>于小宁</v>
      </c>
      <c r="E6" s="65">
        <v>46229</v>
      </c>
      <c r="F6" s="65">
        <v>46252</v>
      </c>
      <c r="G6" s="61" t="str">
        <v>P2</v>
      </c>
    </row>
    <row customHeight="true" ht="17" r="7">
      <c r="A7" t="str">
        <v>完成创新功能开发上线</v>
      </c>
      <c r="B7" s="61" t="str">
        <v>创新功能探索</v>
      </c>
      <c r="C7" s="61" t="str">
        <v>进行中</v>
      </c>
      <c r="D7" t="str">
        <v>雷小达</v>
      </c>
      <c r="E7" s="65">
        <v>46211</v>
      </c>
      <c r="F7" s="65">
        <v>46238</v>
      </c>
      <c r="G7" s="61" t="str">
        <v>P1</v>
      </c>
    </row>
    <row customHeight="true" ht="17" r="8">
      <c r="A8" t="str">
        <v>收集、整合用户反馈</v>
      </c>
      <c r="B8" s="61" t="str">
        <v>提升用户体验</v>
      </c>
      <c r="C8" s="61" t="str">
        <v>进行中</v>
      </c>
      <c r="D8" t="str">
        <v>刘大建</v>
      </c>
      <c r="E8" s="65">
        <v>46213</v>
      </c>
      <c r="F8" s="65">
        <v>46230</v>
      </c>
      <c r="G8" s="61" t="str">
        <v>P0</v>
      </c>
    </row>
    <row customHeight="true" ht="17" r="9">
      <c r="A9" t="str">
        <v>多渠道开展拉新活动</v>
      </c>
      <c r="B9" s="61" t="str">
        <v>完成用户拉新</v>
      </c>
      <c r="C9" s="61" t="str">
        <v>进行中</v>
      </c>
      <c r="D9" t="str">
        <v>张小力</v>
      </c>
      <c r="E9" s="65">
        <v>46211</v>
      </c>
      <c r="F9" s="65">
        <v>46240</v>
      </c>
      <c r="G9" s="61" t="str">
        <v>P0</v>
      </c>
    </row>
    <row customHeight="true" ht="17" r="10">
      <c r="A10" t="str">
        <v>评估需求并细分任务</v>
      </c>
      <c r="B10" s="61" t="str">
        <v>优化产品功能</v>
      </c>
      <c r="C10" s="61" t="str">
        <v>已完成</v>
      </c>
      <c r="D10" t="str">
        <v>黄泡泡</v>
      </c>
      <c r="E10" s="65">
        <v>46211</v>
      </c>
      <c r="F10" s="65">
        <v>46233</v>
      </c>
      <c r="G10" s="61" t="str">
        <v>P1</v>
      </c>
    </row>
    <row customHeight="true" ht="17" r="11">
      <c r="A11" t="str">
        <v>推进功能优化研发</v>
      </c>
      <c r="B11" s="61" t="str">
        <v>优化产品功能</v>
      </c>
      <c r="C11" s="61" t="str">
        <v>已停滞</v>
      </c>
      <c r="D11" t="str">
        <v>黄泡泡</v>
      </c>
      <c r="E11" s="65">
        <v>46211</v>
      </c>
      <c r="F11" s="65">
        <v>46238</v>
      </c>
      <c r="G11" s="61" t="str">
        <v>P1</v>
      </c>
    </row>
  </sheetData>
  <dataValidations count="3">
    <dataValidation allowBlank="true" operator="equal" sqref="G2:G11" type="list">
      <formula1>"P0,P1,P2,P3"</formula1>
    </dataValidation>
    <dataValidation allowBlank="true" operator="equal" sqref="B2:B11" type="list">
      <formula1>"完成用户拉新,提升用户体验,优化产品功能,创新功能探索"</formula1>
    </dataValidation>
    <dataValidation allowBlank="true" operator="equal" sqref="C2:C11" type="list">
      <formula1>"未开始,进行中,已完成,已停滞"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5"/>
    <col collapsed="false" customWidth="true" hidden="false" max="3" min="3" style="0" width="14"/>
    <col collapsed="false" customWidth="true" hidden="false" max="4" min="4" style="0" width="6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"/>
    <col collapsed="false" customWidth="true" hidden="false" max="11" min="11" style="0" width="14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15"/>
    <col collapsed="false" customWidth="true" hidden="false" max="15" min="15" style="0" width="2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customHeight="true" ht="8" r="1">
      <c r="A1" s="67"/>
      <c r="B1" s="66"/>
      <c r="C1" s="66"/>
      <c r="D1" s="66"/>
      <c r="E1" s="66"/>
      <c r="F1" s="66"/>
      <c r="G1" s="66"/>
    </row>
    <row r="2">
      <c r="A2" s="67"/>
      <c r="B2" s="66" t="str">
        <v>看板分析</v>
      </c>
      <c r="C2" s="66"/>
      <c r="D2" s="66"/>
      <c r="E2" s="66"/>
      <c r="F2" s="66"/>
      <c r="G2" s="66"/>
    </row>
    <row r="3">
      <c r="A3" s="67"/>
      <c r="B3" s="66"/>
      <c r="C3" s="66"/>
      <c r="D3" s="66"/>
      <c r="E3" s="66"/>
      <c r="F3" s="66"/>
      <c r="G3" s="66"/>
    </row>
    <row customHeight="true" ht="19" r="4">
      <c r="B4" s="68" t="s">
        <v>4</v>
      </c>
      <c r="C4" s="68"/>
      <c r="D4" s="68"/>
      <c r="E4" s="68"/>
      <c r="F4" s="68"/>
      <c r="G4" s="68"/>
    </row>
    <row customHeight="true" ht="19" r="5">
      <c r="B5" s="68"/>
      <c r="C5" s="68"/>
      <c r="D5" s="68"/>
      <c r="E5" s="68"/>
      <c r="F5" s="68"/>
      <c r="G5" s="68"/>
    </row>
    <row customHeight="true" ht="19" r="6">
      <c r="B6" s="68"/>
      <c r="C6" s="68"/>
      <c r="D6" s="68"/>
      <c r="E6" s="68"/>
      <c r="F6" s="68"/>
      <c r="G6" s="68"/>
    </row>
    <row customHeight="true" ht="19" r="7">
      <c r="B7" s="68"/>
      <c r="C7" s="68"/>
      <c r="D7" s="68"/>
      <c r="E7" s="68"/>
      <c r="F7" s="68"/>
      <c r="G7" s="68"/>
    </row>
    <row customHeight="true" ht="19" r="8">
      <c r="B8" s="68"/>
      <c r="C8" s="68"/>
      <c r="D8" s="68"/>
      <c r="E8" s="68"/>
      <c r="F8" s="68"/>
      <c r="G8" s="68"/>
    </row>
    <row customHeight="true" ht="19" r="9"/>
    <row customHeight="true" ht="36" r="10">
      <c r="B10" s="69" t="str">
        <v>项目概览分析</v>
      </c>
      <c r="C10" s="69"/>
      <c r="D10" s="69"/>
      <c r="E10" s="69"/>
      <c r="F10" s="69"/>
      <c r="G10" s="69"/>
    </row>
    <row customHeight="true" ht="29" r="11">
      <c r="B11" s="70" t="str">
        <v>项目数量趋势分析</v>
      </c>
      <c r="C11" s="70"/>
      <c r="E11" s="70" t="str">
        <v>统计项目成员任务分布情况</v>
      </c>
      <c r="F11" s="70"/>
      <c r="G11" s="70"/>
    </row>
    <row r="12">
      <c r="B12" s="61"/>
      <c r="C12" s="71"/>
      <c r="E12" s="61"/>
      <c r="F12" s="61"/>
    </row>
    <row r="13">
      <c r="B13" s="61"/>
      <c r="C13" s="61"/>
      <c r="E13" s="61"/>
      <c r="F13" s="61"/>
    </row>
    <row r="14">
      <c r="B14" s="61"/>
      <c r="C14" s="61"/>
      <c r="E14" s="61"/>
      <c r="F14" s="61"/>
    </row>
    <row r="15">
      <c r="B15" s="61"/>
      <c r="C15" s="61"/>
      <c r="E15" s="61"/>
      <c r="F15" s="61"/>
    </row>
    <row r="16">
      <c r="B16" s="61"/>
      <c r="C16" s="61"/>
    </row>
    <row r="17">
      <c r="B17" s="61"/>
      <c r="C17" s="61"/>
    </row>
    <row r="18">
      <c r="B18" s="61"/>
      <c r="C18" s="61"/>
    </row>
    <row r="19">
      <c r="B19" s="61"/>
      <c r="C19" s="61"/>
    </row>
    <row r="20">
      <c r="B20" s="61"/>
      <c r="C20" s="61"/>
    </row>
    <row r="21">
      <c r="B21" s="61"/>
      <c r="C21" s="61"/>
    </row>
    <row r="22">
      <c r="B22" s="61"/>
      <c r="C22" s="61"/>
    </row>
    <row r="23">
      <c r="B23" s="61"/>
      <c r="C23" s="61"/>
    </row>
    <row r="24">
      <c r="B24" s="61"/>
      <c r="C24" s="61"/>
    </row>
    <row r="25">
      <c r="B25" s="61"/>
      <c r="C25" s="61"/>
    </row>
    <row r="26">
      <c r="B26" s="61"/>
      <c r="C26" s="61"/>
    </row>
    <row r="27">
      <c r="B27" s="61"/>
      <c r="C27" s="61"/>
    </row>
    <row r="28">
      <c r="B28" s="61"/>
      <c r="C28" s="61"/>
    </row>
  </sheetData>
  <mergeCells>
    <mergeCell ref="B11:C11"/>
    <mergeCell ref="B10:G10"/>
    <mergeCell ref="E11:G11"/>
    <mergeCell ref="B4:G8"/>
    <mergeCell ref="B2:G3"/>
  </mergeCells>
  <hyperlinks>
    <hyperlink ref="B4" display="创建及使用数据透视表" r:id="rId1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89"/>
    <col collapsed="false" customWidth="true" hidden="false" max="3" min="3" style="0" width="20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r="1">
      <c r="A1" s="80" t="str">
        <v>使用指南</v>
      </c>
      <c r="B1" s="78"/>
      <c r="C1" s="79"/>
    </row>
    <row r="2">
      <c r="A2" s="72" t="str">
        <v>模板亮点介绍</v>
      </c>
      <c r="B2" s="73"/>
      <c r="C2" s="74"/>
    </row>
    <row customHeight="true" ht="94" r="3">
      <c r="A3" s="61"/>
      <c r="B3" s="83" t="str">
        <v>本甘特图模板，通过公式、下拉列表、条件格式等能力的组合配置，提供了更“智能”的方式实现甘特图项目管理。
⭐️ “智能”生成项目时间条：你只需要输入项目的启动时间、工作量，模板就会自动计算出对应的时间条
⭐️ “智能”计算每个项目成员的工作总量：通过顶部的「切换人名」，可选择任务Owner并查看对应的工作量
⭐️ “智能”根据子任务的完成度计算出父级任务的完成进度</v>
      </c>
    </row>
    <row r="4"/>
    <row r="5">
      <c r="A5" s="77" t="str">
        <v>如何正确使用</v>
      </c>
      <c r="B5" s="77"/>
    </row>
    <row r="6"/>
    <row r="7">
      <c r="A7" s="75"/>
      <c r="B7" s="76" t="s">
        <v>7</v>
      </c>
      <c r="C7" s="74" t="s">
        <v>6</v>
      </c>
    </row>
    <row r="8">
      <c r="A8" s="75"/>
      <c r="B8" s="76" t="str">
        <v>• 点击切换显示周数，可“智能”延长右侧时间条进度，无需手动生成更长的时间轴</v>
      </c>
      <c r="C8" s="74" t="s">
        <v>5</v>
      </c>
    </row>
    <row r="9">
      <c r="A9" s="75"/>
      <c r="B9" s="76" t="str">
        <v>• 「切换人名」的下拉列表选项，会根据C列的跟进人信息自动生成</v>
      </c>
    </row>
    <row r="10">
      <c r="A10" s="75"/>
      <c r="B10" s="76" t="str">
        <v>• 填写每个任务的工时（自然日），可自动计算出按工作日计算的工时；同时在顶部「下拉列表」切换人名时，可自动在下方生成每个人的工作量信息</v>
      </c>
    </row>
    <row r="11">
      <c r="A11" s="75"/>
      <c r="B11" s="76" t="s">
        <v>8</v>
      </c>
      <c r="C11" s="84" t="str">
        <v>可填写区域</v>
      </c>
    </row>
    <row customHeight="true" ht="20" r="12">
      <c r="A12" s="75"/>
      <c r="B12" s="76" t="str">
        <v>• 灰色底色区域代表父级任务，父级任务的启动时间，会根据子任务自动时间中的最小值自动生成</v>
      </c>
      <c r="C12" s="81" t="str">
        <v>父级任务信息可自动生成</v>
      </c>
    </row>
    <row r="13">
      <c r="A13" s="75"/>
      <c r="B13" s="76" t="str">
        <v>• 如果单元格中有显示"#####"，可以将列宽调整到可完整显示内容</v>
      </c>
    </row>
    <row customHeight="true" ht="20" r="14">
      <c r="A14" s="75"/>
      <c r="B14" s="76" t="str">
        <v>• 如需增加父任务，请先在任务列表区插入一行，并将父任务行复制后粘贴到新插入的行中</v>
      </c>
    </row>
    <row customHeight="true" ht="20" r="15">
      <c r="A15" s="75"/>
      <c r="B15" s="85" t="str">
        <v>• 如需增加子任务，请在子任务范围（除第一行和最末行外的范围）内插入一行，并将上一行信息复制后粘贴到新插入的行中</v>
      </c>
    </row>
    <row r="16">
      <c r="A16" s="75"/>
      <c r="B16" s="82"/>
    </row>
    <row r="17">
      <c r="A17" s="77" t="str">
        <v>注意事项</v>
      </c>
      <c r="B17" s="77"/>
    </row>
    <row r="18">
      <c r="A18" s="75"/>
      <c r="B18" s="76" t="str">
        <v>❗️ 请不要轻易在A1:I5 范围内增删行列，否则会影响配置好的公式及条件格式
❗️ 如果出现表格错乱问题，请通过历史记录恢复到操作前的版本</v>
      </c>
    </row>
  </sheetData>
  <mergeCells>
    <mergeCell ref="A17:B17"/>
    <mergeCell ref="A5:B5"/>
  </mergeCells>
  <hyperlinks>
    <hyperlink ref="C7" location="'项目管理'!C2" display="点击修改项目启动日期"/>
    <hyperlink ref="C8" location="'项目管理'!H2" display="点击可跳转设置并查看效果"/>
  </hyperlinks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28"/>
    <col collapsed="false" customWidth="true" hidden="false" max="7" min="7" style="0" width="46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93" t="str">
        <v>节日</v>
      </c>
      <c r="B1" s="93" t="str">
        <v>放假时间</v>
      </c>
      <c r="C1" s="5"/>
      <c r="D1" s="93" t="str">
        <v>上班时间</v>
      </c>
      <c r="E1" s="5"/>
      <c r="F1" s="94" t="str">
        <v>❗️此页Sheet用于计算2026年度中国大陆地区的假期和调休情况，与甘特图时间轴的调休标识关联，请勿删除❗️</v>
      </c>
      <c r="G1" s="94"/>
      <c r="H1" s="9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86" t="str">
        <v>元旦</v>
      </c>
      <c r="B2" s="87">
        <v>46023</v>
      </c>
      <c r="C2" s="5"/>
      <c r="D2" s="87">
        <v>46026</v>
      </c>
      <c r="E2" s="5"/>
      <c r="F2" s="94"/>
      <c r="G2" s="94"/>
      <c r="H2" s="9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86" t="str">
        <v>元旦</v>
      </c>
      <c r="B3" s="87">
        <v>46024</v>
      </c>
      <c r="C3" s="5"/>
      <c r="D3" s="87">
        <v>46067</v>
      </c>
      <c r="E3" s="5"/>
      <c r="F3" s="5" t="str">
        <v>1. 模板创建者可保护本子表，禁止其他协作者编辑本子表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86" t="str">
        <v>元旦</v>
      </c>
      <c r="B4" s="87">
        <v>46025</v>
      </c>
      <c r="C4" s="5"/>
      <c r="D4" s="87">
        <v>46081</v>
      </c>
      <c r="E4" s="5"/>
      <c r="F4" s="92" t="str">
        <v>2. 保护子表后，可隐藏本页</v>
      </c>
      <c r="G4" s="92"/>
      <c r="H4" s="9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86" t="str">
        <v>春节</v>
      </c>
      <c r="B5" s="87">
        <v>46068</v>
      </c>
      <c r="C5" s="5"/>
      <c r="D5" s="87">
        <v>46151</v>
      </c>
      <c r="E5" s="5"/>
      <c r="F5" s="88" t="str">
        <v>3. 如需自行调整假期和调休情况，可自行更新左侧B列和D列的日期；更新后，在“项目甘特图”表中，选择“条件格式”——“管理规则”——“整张工作表”，找到“自定义公式=NETWORKS.INTL……”的规则</v>
      </c>
      <c r="G5" s="88"/>
      <c r="H5" s="8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86" t="str">
        <v>春节</v>
      </c>
      <c r="B6" s="87">
        <v>46069</v>
      </c>
      <c r="C6" s="5"/>
      <c r="D6" s="87">
        <v>46285</v>
      </c>
      <c r="E6" s="5"/>
      <c r="F6" s="88"/>
      <c r="G6" s="88"/>
      <c r="H6" s="8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86" t="str">
        <v>春节</v>
      </c>
      <c r="B7" s="87">
        <v>46070</v>
      </c>
      <c r="C7" s="5"/>
      <c r="D7" s="87">
        <v>46305</v>
      </c>
      <c r="E7" s="5"/>
      <c r="F7" s="88" t="str">
        <v>4. 将公式【 =NETWORKDAYS.INTL(J$4,J$4,1,'2024节假日一览表'!$B$2:$B$30)+COUNTIFS('2024节假日一览表'!$D$2:$D$9,"&gt;="&amp;J$4,'2024节假日一览表'!$D$2:$D$9,"&lt;="&amp;J$4)=0 】中的'2024节假日一览表'!$B$2:$B$30及'2024节假日一览表'!$D$2:$D$9范围扩充到与新增范围一致即可</v>
      </c>
      <c r="G7" s="88"/>
      <c r="H7" s="8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86" t="str">
        <v>春节</v>
      </c>
      <c r="B8" s="87">
        <v>46071</v>
      </c>
      <c r="C8" s="5"/>
      <c r="D8" s="89"/>
      <c r="E8" s="5"/>
      <c r="F8" s="88"/>
      <c r="G8" s="88"/>
      <c r="H8" s="8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86" t="str">
        <v>春节</v>
      </c>
      <c r="B9" s="87">
        <v>46072</v>
      </c>
      <c r="C9" s="5"/>
      <c r="D9" s="8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86" t="str">
        <v>春节</v>
      </c>
      <c r="B10" s="87">
        <v>46073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86" t="str">
        <v>春节</v>
      </c>
      <c r="B11" s="87">
        <v>46074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86" t="str">
        <v>春节</v>
      </c>
      <c r="B12" s="87">
        <v>46075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86" t="str">
        <v>春节</v>
      </c>
      <c r="B13" s="87">
        <v>46076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86" t="str">
        <v>清明节</v>
      </c>
      <c r="B14" s="87">
        <v>46116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86" t="str">
        <v>清明节</v>
      </c>
      <c r="B15" s="87">
        <v>46117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86" t="str">
        <v>清明节</v>
      </c>
      <c r="B16" s="87">
        <v>46118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86" t="str">
        <v>劳动节</v>
      </c>
      <c r="B17" s="87">
        <v>46143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86" t="str">
        <v>劳动节</v>
      </c>
      <c r="B18" s="87">
        <v>46144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86" t="str">
        <v>劳动节</v>
      </c>
      <c r="B19" s="87">
        <v>46145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customHeight="true" ht="19" r="20">
      <c r="A20" s="86" t="str">
        <v>劳动节</v>
      </c>
      <c r="B20" s="87">
        <v>46146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customHeight="true" ht="19" r="21">
      <c r="A21" s="86" t="str">
        <v>劳动节</v>
      </c>
      <c r="B21" s="87">
        <v>46147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86" t="str">
        <v>端午节</v>
      </c>
      <c r="B22" s="87">
        <v>46192</v>
      </c>
      <c r="C22" s="8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86" t="str">
        <v>端午节</v>
      </c>
      <c r="B23" s="87">
        <v>46193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86" t="str">
        <v>端午节</v>
      </c>
      <c r="B24" s="87">
        <v>46194</v>
      </c>
      <c r="C24" s="8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86" t="str">
        <v>中秋节</v>
      </c>
      <c r="B25" s="87">
        <v>46290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86" t="str">
        <v>中秋节</v>
      </c>
      <c r="B26" s="87">
        <v>46291</v>
      </c>
      <c r="C26" s="8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86" t="str">
        <v>中秋节</v>
      </c>
      <c r="B27" s="87">
        <v>46292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86" t="str">
        <v>国庆节</v>
      </c>
      <c r="B28" s="87">
        <v>46296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91" t="str">
        <v>国庆节</v>
      </c>
      <c r="B29" s="90">
        <v>46297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86" t="str">
        <v>国庆节</v>
      </c>
      <c r="B30" s="87">
        <v>46298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86" t="str">
        <v>国庆节</v>
      </c>
      <c r="B31" s="87">
        <v>46299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86" t="str">
        <v>国庆节</v>
      </c>
      <c r="B32" s="87">
        <v>46300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86" t="str">
        <v>国庆节</v>
      </c>
      <c r="B33" s="87">
        <v>46301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86" t="str">
        <v>国庆节</v>
      </c>
      <c r="B34" s="87">
        <v>46302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</sheetData>
  <mergeCells>
    <mergeCell ref="F1:H2"/>
    <mergeCell ref="F3:H3"/>
    <mergeCell ref="F4:H4"/>
    <mergeCell ref="F5:H6"/>
    <mergeCell ref="F7:H8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